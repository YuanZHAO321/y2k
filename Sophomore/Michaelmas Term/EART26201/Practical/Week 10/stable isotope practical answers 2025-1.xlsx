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ART26201 principles of geochemistry\2025\"/>
    </mc:Choice>
  </mc:AlternateContent>
  <xr:revisionPtr revIDLastSave="0" documentId="13_ncr:1_{A7F2439F-80CE-48EE-BC9C-CAA162B63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J2" i="1" l="1"/>
  <c r="L7" i="1"/>
  <c r="L8" i="1"/>
  <c r="L9" i="1"/>
  <c r="L10" i="1"/>
  <c r="L11" i="1"/>
  <c r="L12" i="1"/>
  <c r="L13" i="1"/>
  <c r="L14" i="1"/>
  <c r="L15" i="1"/>
  <c r="H2" i="1"/>
  <c r="F2" i="1" s="1"/>
  <c r="E3" i="1" s="1"/>
  <c r="I2" i="1"/>
  <c r="J8" i="1"/>
  <c r="J9" i="1"/>
  <c r="J10" i="1"/>
  <c r="M25" i="1"/>
  <c r="N15" i="1" l="1"/>
  <c r="N8" i="1"/>
  <c r="N7" i="1"/>
  <c r="J15" i="1"/>
  <c r="J14" i="1"/>
  <c r="J13" i="1"/>
  <c r="J12" i="1"/>
  <c r="J11" i="1"/>
  <c r="J7" i="1"/>
  <c r="N9" i="1" l="1"/>
  <c r="N10" i="1"/>
  <c r="N11" i="1"/>
  <c r="N12" i="1"/>
  <c r="N13" i="1"/>
  <c r="N14" i="1"/>
</calcChain>
</file>

<file path=xl/sharedStrings.xml><?xml version="1.0" encoding="utf-8"?>
<sst xmlns="http://schemas.openxmlformats.org/spreadsheetml/2006/main" count="9" uniqueCount="8">
  <si>
    <t>f</t>
  </si>
  <si>
    <t>ln f</t>
  </si>
  <si>
    <t>Composition of water vapour</t>
  </si>
  <si>
    <t xml:space="preserve">Composition of rain </t>
  </si>
  <si>
    <t>current depth</t>
  </si>
  <si>
    <t>palaeodepth</t>
  </si>
  <si>
    <t>change</t>
  </si>
  <si>
    <t>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</si>
</sst>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Evolution of rainwater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Sheet1!$K$5</c:f>
              <c:strCache>
                <c:ptCount val="1"/>
                <c:pt idx="0">
                  <c:v>Composition of water vapour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Sheet1!$I$6:$I$15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Sheet1!$K$6:$K$15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6D-4975-8501-2A3D4289E207}"/>
            </c:ext>
          </c:extLst>
        </c:ser>
        <c:ser>
          <c:idx val="1"/>
          <c:order val="1"/>
          <c:tx>
            <c:strRef>
              <c:f>Sheet1!$L$5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Sheet1!$I$6:$I$15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Sheet1!$L$6:$L$15</c:f>
              <c:numCache>
                <c:formatCode>General</c:formatCode>
                <c:ptCount val="10"/>
                <c:pt idx="0">
                  <c:v>-10</c:v>
                </c:pt>
                <c:pt idx="1">
                  <c:v>-10.990388847183567</c:v>
                </c:pt>
                <c:pt idx="2">
                  <c:v>-12.097549382353572</c:v>
                </c:pt>
                <c:pt idx="3">
                  <c:v>-13.352744473024085</c:v>
                </c:pt>
                <c:pt idx="4">
                  <c:v>-14.801760863400313</c:v>
                </c:pt>
                <c:pt idx="5">
                  <c:v>-16.515583497263485</c:v>
                </c:pt>
                <c:pt idx="6">
                  <c:v>-18.613132879617055</c:v>
                </c:pt>
                <c:pt idx="7">
                  <c:v>-21.3173443606638</c:v>
                </c:pt>
                <c:pt idx="8">
                  <c:v>-25.128716376880543</c:v>
                </c:pt>
                <c:pt idx="9">
                  <c:v>-31.644299874144028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6D-4975-8501-2A3D4289E207}"/>
            </c:ext>
          </c:extLst>
        </c:ser>
        <c:ser>
          <c:idx val="2"/>
          <c:order val="2"/>
          <c:tx>
            <c:strRef>
              <c:f>Sheet1!$M$5</c:f>
              <c:strCache>
                <c:ptCount val="1"/>
                <c:pt idx="0">
                  <c:v>Composition of rain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Sheet1!$I$6:$I$15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Sheet1!$N$6:$N$15</c:f>
              <c:numCache>
                <c:formatCode>General</c:formatCode>
                <c:ptCount val="10"/>
                <c:pt idx="0">
                  <c:v>-0.6</c:v>
                </c:pt>
                <c:pt idx="1">
                  <c:v>-1.5903888471835668</c:v>
                </c:pt>
                <c:pt idx="2">
                  <c:v>-2.6975493823535714</c:v>
                </c:pt>
                <c:pt idx="3">
                  <c:v>-3.9527444730240848</c:v>
                </c:pt>
                <c:pt idx="4">
                  <c:v>-5.4017608634003125</c:v>
                </c:pt>
                <c:pt idx="5">
                  <c:v>-7.1155834972634846</c:v>
                </c:pt>
                <c:pt idx="6">
                  <c:v>-9.2131328796170546</c:v>
                </c:pt>
                <c:pt idx="7">
                  <c:v>-11.917344360663799</c:v>
                </c:pt>
                <c:pt idx="8">
                  <c:v>-15.728716376880543</c:v>
                </c:pt>
                <c:pt idx="9">
                  <c:v>-22.244299874144026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6D-4975-8501-2A3D4289E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940720"/>
        <c:axId val="248939472"/>
      </c:scatterChart>
      <c:valAx>
        <c:axId val="2489407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fraction f remaining in cloud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39472"/>
        <c:crosses val="autoZero"/>
        <c:crossBetween val="midCat"/>
      </c:valAx>
      <c:valAx>
        <c:axId val="24893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ym typeface="Symbol" panose="05050102010706020507" pitchFamily="18" charset="2"/>
                  </a:rPr>
                  <a:t></a:t>
                </a:r>
                <a:r>
                  <a:rPr lang="en-US" sz="1600" baseline="30000">
                    <a:sym typeface="Symbol" panose="05050102010706020507" pitchFamily="18" charset="2"/>
                  </a:rPr>
                  <a:t>18</a:t>
                </a:r>
                <a:r>
                  <a:rPr lang="en-US" sz="1600"/>
                  <a:t>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940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312420</xdr:colOff>
      <xdr:row>1</xdr:row>
      <xdr:rowOff>102870</xdr:rowOff>
    </xdr:from>
    <xdr:to>
      <xdr:col>22</xdr:col>
      <xdr:colOff>548640</xdr:colOff>
      <xdr:row>21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61AA4-5A0F-4877-84D8-2B77A232D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topLeftCell="D1" zoomScale="115" zoomScaleNormal="115" workbookViewId="0">
      <selection activeCell="E3" sqref="E3"/>
    </sheetView>
  </sheetViews>
  <sheetFormatPr defaultRowHeight="14.4" x14ac:dyDescent="0.3"/>
  <cols>
    <col min="7" max="7" width="12.5546875" bestFit="1" customWidth="1"/>
    <col min="8" max="8" width="11.5546875" bestFit="1" customWidth="1"/>
    <col min="10" max="10" width="11.6640625" customWidth="1"/>
    <col min="12" max="12" width="13.109375" customWidth="1"/>
  </cols>
  <sheetData>
    <row r="1" spans="1:14" x14ac:dyDescent="0.3">
      <c r="A1" s="3"/>
      <c r="B1" s="3"/>
      <c r="C1" s="3"/>
      <c r="D1" s="3"/>
      <c r="E1" s="3"/>
      <c r="F1" s="4" t="s">
        <v>6</v>
      </c>
      <c r="G1" s="3" t="s">
        <v>4</v>
      </c>
      <c r="H1" t="s">
        <v>5</v>
      </c>
      <c r="I1" s="3" t="s">
        <v>7</v>
      </c>
      <c r="J1" s="3" t="s">
        <v>7</v>
      </c>
    </row>
    <row r="2" spans="1:14" x14ac:dyDescent="0.3">
      <c r="A2" s="3"/>
      <c r="B2" s="3"/>
      <c r="C2" s="3"/>
      <c r="D2" s="3"/>
      <c r="E2" s="3">
        <f>0.75/1.5</f>
        <v>0.5</v>
      </c>
      <c r="F2" s="3">
        <f>G2-H2</f>
        <v>247.88263860207235</v>
      </c>
      <c r="G2" s="3">
        <v>3794</v>
      </c>
      <c r="H2">
        <f>I2*3794</f>
        <v>3546.1173613979277</v>
      </c>
      <c r="I2">
        <f>EXP(J2)</f>
        <v>0.93466456547125132</v>
      </c>
      <c r="J2">
        <f>-1.5/22.2</f>
        <v>-6.7567567567567571E-2</v>
      </c>
    </row>
    <row r="3" spans="1:14" x14ac:dyDescent="0.3">
      <c r="A3" s="3"/>
      <c r="B3" s="3"/>
      <c r="C3" s="3"/>
      <c r="D3" s="3"/>
      <c r="E3" s="3">
        <f>E2*F2</f>
        <v>123.94131930103617</v>
      </c>
      <c r="F3" s="3"/>
    </row>
    <row r="4" spans="1:14" x14ac:dyDescent="0.3">
      <c r="A4" s="3"/>
      <c r="B4" s="5"/>
      <c r="C4" s="5"/>
      <c r="D4" s="3"/>
      <c r="E4" s="3"/>
      <c r="F4" s="3"/>
      <c r="G4" s="3"/>
    </row>
    <row r="5" spans="1:14" x14ac:dyDescent="0.3">
      <c r="A5" s="3"/>
      <c r="B5" s="3"/>
      <c r="C5" s="3"/>
      <c r="D5" s="3"/>
      <c r="E5" s="3"/>
      <c r="F5" s="3"/>
      <c r="G5" s="3"/>
      <c r="I5" s="3" t="s">
        <v>0</v>
      </c>
      <c r="J5" s="3" t="s">
        <v>1</v>
      </c>
      <c r="K5" s="5" t="s">
        <v>2</v>
      </c>
      <c r="L5" s="5"/>
      <c r="M5" s="5" t="s">
        <v>3</v>
      </c>
      <c r="N5" s="5"/>
    </row>
    <row r="6" spans="1:14" x14ac:dyDescent="0.3">
      <c r="A6" s="3"/>
      <c r="B6" s="3"/>
      <c r="C6" s="5"/>
      <c r="D6" s="5"/>
      <c r="E6" s="3"/>
      <c r="F6" s="5"/>
      <c r="G6" s="5"/>
      <c r="I6" s="4">
        <v>1</v>
      </c>
      <c r="J6" s="4">
        <v>0</v>
      </c>
      <c r="K6" s="3"/>
      <c r="L6" s="4">
        <v>-10</v>
      </c>
      <c r="M6" s="3"/>
      <c r="N6" s="4">
        <v>-0.6</v>
      </c>
    </row>
    <row r="7" spans="1:14" x14ac:dyDescent="0.3">
      <c r="A7" s="3"/>
      <c r="B7" s="3"/>
      <c r="C7" s="3"/>
      <c r="D7" s="3"/>
      <c r="E7" s="3"/>
      <c r="F7" s="3"/>
      <c r="G7" s="3"/>
      <c r="I7" s="4">
        <v>0.9</v>
      </c>
      <c r="J7" s="4">
        <f>LN(I7)</f>
        <v>-0.10536051565782628</v>
      </c>
      <c r="K7" s="3"/>
      <c r="L7" s="4">
        <f t="shared" ref="L7:L15" si="0">L$6+9.4*(LN(I7))</f>
        <v>-10.990388847183567</v>
      </c>
      <c r="M7" s="3"/>
      <c r="N7" s="4">
        <f t="shared" ref="N7:N15" si="1">L7+9.4</f>
        <v>-1.5903888471835668</v>
      </c>
    </row>
    <row r="8" spans="1:14" x14ac:dyDescent="0.3">
      <c r="A8" s="4"/>
      <c r="B8" s="4"/>
      <c r="C8" s="4"/>
      <c r="D8" s="3"/>
      <c r="E8" s="4"/>
      <c r="F8" s="4"/>
      <c r="G8" s="3"/>
      <c r="I8" s="4">
        <v>0.8</v>
      </c>
      <c r="J8" s="4">
        <f t="shared" ref="J8:J15" si="2">LN(I8)</f>
        <v>-0.22314355131420971</v>
      </c>
      <c r="K8" s="3"/>
      <c r="L8" s="4">
        <f t="shared" si="0"/>
        <v>-12.097549382353572</v>
      </c>
      <c r="M8" s="3"/>
      <c r="N8" s="4">
        <f t="shared" si="1"/>
        <v>-2.6975493823535714</v>
      </c>
    </row>
    <row r="9" spans="1:14" x14ac:dyDescent="0.3">
      <c r="A9" s="4"/>
      <c r="B9" s="4"/>
      <c r="C9" s="4"/>
      <c r="D9" s="3"/>
      <c r="E9" s="4"/>
      <c r="F9" s="4"/>
      <c r="G9" s="3"/>
      <c r="I9" s="4">
        <v>0.7</v>
      </c>
      <c r="J9" s="4">
        <f t="shared" si="2"/>
        <v>-0.35667494393873245</v>
      </c>
      <c r="K9" s="3"/>
      <c r="L9" s="4">
        <f t="shared" si="0"/>
        <v>-13.352744473024085</v>
      </c>
      <c r="M9" s="3"/>
      <c r="N9" s="4">
        <f t="shared" si="1"/>
        <v>-3.9527444730240848</v>
      </c>
    </row>
    <row r="10" spans="1:14" x14ac:dyDescent="0.3">
      <c r="A10" s="4"/>
      <c r="B10" s="4"/>
      <c r="C10" s="4"/>
      <c r="D10" s="3"/>
      <c r="E10" s="4"/>
      <c r="F10" s="4"/>
      <c r="G10" s="3"/>
      <c r="I10" s="4">
        <v>0.6</v>
      </c>
      <c r="J10" s="4">
        <f t="shared" si="2"/>
        <v>-0.51082562376599072</v>
      </c>
      <c r="K10" s="3"/>
      <c r="L10" s="4">
        <f t="shared" si="0"/>
        <v>-14.801760863400313</v>
      </c>
      <c r="M10" s="3"/>
      <c r="N10" s="4">
        <f t="shared" si="1"/>
        <v>-5.4017608634003125</v>
      </c>
    </row>
    <row r="11" spans="1:14" x14ac:dyDescent="0.3">
      <c r="A11" s="4"/>
      <c r="B11" s="4"/>
      <c r="C11" s="4"/>
      <c r="D11" s="3"/>
      <c r="E11" s="4"/>
      <c r="F11" s="4"/>
      <c r="G11" s="3"/>
      <c r="I11" s="4">
        <v>0.5</v>
      </c>
      <c r="J11" s="4">
        <f t="shared" si="2"/>
        <v>-0.69314718055994529</v>
      </c>
      <c r="K11" s="3"/>
      <c r="L11" s="4">
        <f t="shared" si="0"/>
        <v>-16.515583497263485</v>
      </c>
      <c r="M11" s="3"/>
      <c r="N11" s="4">
        <f t="shared" si="1"/>
        <v>-7.1155834972634846</v>
      </c>
    </row>
    <row r="12" spans="1:14" x14ac:dyDescent="0.3">
      <c r="A12" s="4"/>
      <c r="B12" s="4"/>
      <c r="C12" s="4"/>
      <c r="D12" s="3"/>
      <c r="E12" s="4"/>
      <c r="F12" s="4"/>
      <c r="G12" s="3"/>
      <c r="I12" s="4">
        <v>0.4</v>
      </c>
      <c r="J12" s="4">
        <f t="shared" si="2"/>
        <v>-0.916290731874155</v>
      </c>
      <c r="K12" s="3"/>
      <c r="L12" s="4">
        <f t="shared" si="0"/>
        <v>-18.613132879617055</v>
      </c>
      <c r="M12" s="3"/>
      <c r="N12" s="4">
        <f t="shared" si="1"/>
        <v>-9.2131328796170546</v>
      </c>
    </row>
    <row r="13" spans="1:14" x14ac:dyDescent="0.3">
      <c r="A13" s="4"/>
      <c r="B13" s="4"/>
      <c r="C13" s="4"/>
      <c r="D13" s="3"/>
      <c r="E13" s="4"/>
      <c r="F13" s="4"/>
      <c r="G13" s="3"/>
      <c r="I13" s="4">
        <v>0.3</v>
      </c>
      <c r="J13" s="4">
        <f t="shared" si="2"/>
        <v>-1.2039728043259361</v>
      </c>
      <c r="K13" s="3"/>
      <c r="L13" s="4">
        <f t="shared" si="0"/>
        <v>-21.3173443606638</v>
      </c>
      <c r="M13" s="3"/>
      <c r="N13" s="4">
        <f t="shared" si="1"/>
        <v>-11.917344360663799</v>
      </c>
    </row>
    <row r="14" spans="1:14" x14ac:dyDescent="0.3">
      <c r="A14" s="4"/>
      <c r="B14" s="4"/>
      <c r="C14" s="4"/>
      <c r="D14" s="3"/>
      <c r="E14" s="4"/>
      <c r="F14" s="4"/>
      <c r="G14" s="3"/>
      <c r="I14" s="4">
        <v>0.2</v>
      </c>
      <c r="J14" s="4">
        <f t="shared" si="2"/>
        <v>-1.6094379124341003</v>
      </c>
      <c r="K14" s="3"/>
      <c r="L14" s="4">
        <f t="shared" si="0"/>
        <v>-25.128716376880543</v>
      </c>
      <c r="M14" s="3"/>
      <c r="N14" s="4">
        <f t="shared" si="1"/>
        <v>-15.728716376880543</v>
      </c>
    </row>
    <row r="15" spans="1:14" x14ac:dyDescent="0.3">
      <c r="A15" s="4"/>
      <c r="B15" s="4"/>
      <c r="C15" s="4"/>
      <c r="D15" s="3"/>
      <c r="E15" s="4"/>
      <c r="F15" s="4"/>
      <c r="G15" s="3"/>
      <c r="I15" s="4">
        <v>0.1</v>
      </c>
      <c r="J15" s="4">
        <f t="shared" si="2"/>
        <v>-2.3025850929940455</v>
      </c>
      <c r="K15" s="3"/>
      <c r="L15" s="4">
        <f t="shared" si="0"/>
        <v>-31.644299874144028</v>
      </c>
      <c r="M15" s="3"/>
      <c r="N15" s="4">
        <f t="shared" si="1"/>
        <v>-22.244299874144026</v>
      </c>
    </row>
    <row r="16" spans="1:14" x14ac:dyDescent="0.3">
      <c r="A16" s="3"/>
      <c r="B16" s="3"/>
      <c r="C16" s="3"/>
      <c r="D16" s="3"/>
      <c r="E16" s="3"/>
      <c r="F16" s="3"/>
      <c r="G16" s="3"/>
      <c r="I16" s="4"/>
      <c r="J16" s="4"/>
      <c r="L16" s="4"/>
      <c r="N16" s="4"/>
    </row>
    <row r="18" spans="1:13" x14ac:dyDescent="0.3">
      <c r="A18" s="3"/>
      <c r="B18" s="3"/>
      <c r="C18" s="3"/>
      <c r="D18" s="3"/>
      <c r="E18" s="3"/>
      <c r="F18" s="4"/>
      <c r="G18" s="3"/>
    </row>
    <row r="19" spans="1:13" x14ac:dyDescent="0.3">
      <c r="A19" s="3"/>
      <c r="B19" s="3"/>
      <c r="C19" s="3"/>
      <c r="D19" s="3"/>
      <c r="E19" s="3"/>
      <c r="F19" s="4"/>
      <c r="G19" s="3"/>
    </row>
    <row r="20" spans="1:13" x14ac:dyDescent="0.3">
      <c r="A20" s="3"/>
      <c r="B20" s="3"/>
      <c r="C20" s="3"/>
      <c r="D20" s="3"/>
      <c r="E20" s="3"/>
      <c r="F20" s="3"/>
      <c r="G20" s="3"/>
    </row>
    <row r="21" spans="1:13" x14ac:dyDescent="0.3">
      <c r="A21" s="3"/>
      <c r="B21" s="5"/>
      <c r="C21" s="5"/>
      <c r="D21" s="3"/>
      <c r="E21" s="3"/>
      <c r="F21" s="3"/>
      <c r="G21" s="3"/>
    </row>
    <row r="22" spans="1:13" x14ac:dyDescent="0.3">
      <c r="A22" s="3"/>
      <c r="B22" s="3"/>
      <c r="C22" s="3"/>
      <c r="D22" s="3"/>
      <c r="E22" s="3"/>
      <c r="F22" s="3"/>
      <c r="G22" s="3"/>
    </row>
    <row r="23" spans="1:13" x14ac:dyDescent="0.3">
      <c r="A23" s="3"/>
      <c r="B23" s="3"/>
      <c r="C23" s="5"/>
      <c r="D23" s="5"/>
      <c r="E23" s="3"/>
      <c r="F23" s="5"/>
      <c r="G23" s="5"/>
    </row>
    <row r="24" spans="1:13" x14ac:dyDescent="0.3">
      <c r="A24" s="3"/>
      <c r="B24" s="3"/>
      <c r="C24" s="3"/>
      <c r="D24" s="3"/>
      <c r="E24" s="3"/>
      <c r="F24" s="3"/>
      <c r="G24" s="3"/>
    </row>
    <row r="25" spans="1:13" x14ac:dyDescent="0.3">
      <c r="A25" s="4"/>
      <c r="B25" s="4"/>
      <c r="C25" s="4"/>
      <c r="D25" s="3"/>
      <c r="E25" s="4"/>
      <c r="F25" s="4"/>
      <c r="G25" s="3"/>
      <c r="M25">
        <f>EXP(-0.03)</f>
        <v>0.97044553354850815</v>
      </c>
    </row>
    <row r="26" spans="1:13" x14ac:dyDescent="0.3">
      <c r="A26" s="4"/>
      <c r="B26" s="4"/>
      <c r="C26" s="4"/>
      <c r="D26" s="3"/>
      <c r="E26" s="4"/>
      <c r="F26" s="4"/>
      <c r="G26" s="3"/>
    </row>
    <row r="27" spans="1:13" x14ac:dyDescent="0.3">
      <c r="A27" s="4"/>
      <c r="B27" s="4"/>
      <c r="C27" s="4"/>
      <c r="D27" s="3"/>
      <c r="E27" s="4"/>
      <c r="F27" s="4"/>
      <c r="G27" s="3"/>
    </row>
    <row r="28" spans="1:13" x14ac:dyDescent="0.3">
      <c r="A28" s="4"/>
      <c r="B28" s="4"/>
      <c r="C28" s="4"/>
      <c r="D28" s="3"/>
      <c r="E28" s="4"/>
      <c r="F28" s="4"/>
      <c r="G28" s="3"/>
    </row>
    <row r="29" spans="1:13" x14ac:dyDescent="0.3">
      <c r="A29" s="4"/>
      <c r="B29" s="4"/>
      <c r="C29" s="4"/>
      <c r="D29" s="3"/>
      <c r="E29" s="4"/>
      <c r="F29" s="4"/>
      <c r="G29" s="3"/>
    </row>
    <row r="30" spans="1:13" x14ac:dyDescent="0.3">
      <c r="A30" s="4"/>
      <c r="B30" s="4"/>
      <c r="C30" s="4"/>
      <c r="D30" s="3"/>
      <c r="E30" s="4"/>
      <c r="F30" s="4"/>
      <c r="G30" s="3"/>
    </row>
    <row r="31" spans="1:13" x14ac:dyDescent="0.3">
      <c r="A31" s="4"/>
      <c r="B31" s="4"/>
      <c r="C31" s="4"/>
      <c r="D31" s="3"/>
      <c r="E31" s="4"/>
      <c r="F31" s="4"/>
      <c r="G31" s="3"/>
    </row>
    <row r="32" spans="1:13" x14ac:dyDescent="0.3">
      <c r="A32" s="4"/>
      <c r="B32" s="4"/>
      <c r="C32" s="4"/>
      <c r="D32" s="3"/>
      <c r="E32" s="4"/>
      <c r="F32" s="4"/>
      <c r="G32" s="3"/>
    </row>
    <row r="33" spans="5:6" x14ac:dyDescent="0.3">
      <c r="E33" s="1"/>
      <c r="F33" s="1"/>
    </row>
    <row r="34" spans="5:6" x14ac:dyDescent="0.3">
      <c r="E34" s="1"/>
      <c r="F34" s="1"/>
    </row>
    <row r="35" spans="5:6" x14ac:dyDescent="0.3">
      <c r="E35" s="1"/>
      <c r="F35" s="1"/>
    </row>
    <row r="36" spans="5:6" x14ac:dyDescent="0.3">
      <c r="E36" s="1"/>
      <c r="F36" s="1"/>
    </row>
    <row r="37" spans="5:6" x14ac:dyDescent="0.3">
      <c r="E37" s="1"/>
      <c r="F37" s="1"/>
    </row>
    <row r="38" spans="5:6" x14ac:dyDescent="0.3">
      <c r="E38" s="1"/>
      <c r="F38" s="1"/>
    </row>
    <row r="39" spans="5:6" x14ac:dyDescent="0.3">
      <c r="E39" s="1"/>
      <c r="F39" s="1"/>
    </row>
    <row r="40" spans="5:6" x14ac:dyDescent="0.3">
      <c r="E40" s="1"/>
      <c r="F40" s="1"/>
    </row>
    <row r="41" spans="5:6" x14ac:dyDescent="0.3">
      <c r="E41" s="1"/>
      <c r="F41" s="1"/>
    </row>
    <row r="42" spans="5:6" x14ac:dyDescent="0.3">
      <c r="E42" s="1"/>
      <c r="F42" s="1"/>
    </row>
    <row r="43" spans="5:6" ht="15" thickBot="1" x14ac:dyDescent="0.35">
      <c r="E43" s="2"/>
      <c r="F43" s="2"/>
    </row>
  </sheetData>
  <mergeCells count="8">
    <mergeCell ref="B4:C4"/>
    <mergeCell ref="C6:D6"/>
    <mergeCell ref="F6:G6"/>
    <mergeCell ref="B21:C21"/>
    <mergeCell ref="C23:D23"/>
    <mergeCell ref="F23:G23"/>
    <mergeCell ref="K5:L5"/>
    <mergeCell ref="M5:N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Holland, Greg</dc:creator>
  <cp:lastModifiedBy>Greg Holland</cp:lastModifiedBy>
  <dcterms:created xsi:type="dcterms:W3CDTF">2013-02-15T08:06:50Z</dcterms:created>
  <dcterms:modified xsi:type="dcterms:W3CDTF">2025-12-02T11:05:58Z</dcterms:modified>
</cp:coreProperties>
</file>