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70774dn\Dropbox\Teaching UG\UG\EART2\EART26201 2022 Principles of Geochemistry\EART26201_2022_Assessments\EART26201_2022_Week5_Summative assessment\"/>
    </mc:Choice>
  </mc:AlternateContent>
  <bookViews>
    <workbookView xWindow="7200" yWindow="2610" windowWidth="21600" windowHeight="11390"/>
  </bookViews>
  <sheets>
    <sheet name="Q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9" i="1"/>
  <c r="B12" i="1" s="1"/>
  <c r="B13" i="1" s="1"/>
</calcChain>
</file>

<file path=xl/sharedStrings.xml><?xml version="1.0" encoding="utf-8"?>
<sst xmlns="http://schemas.openxmlformats.org/spreadsheetml/2006/main" count="22" uniqueCount="21">
  <si>
    <t>87Rb/86Sr</t>
  </si>
  <si>
    <t>87Sr/86Sr</t>
  </si>
  <si>
    <t>years</t>
  </si>
  <si>
    <t>Ma</t>
  </si>
  <si>
    <t>Slope =</t>
  </si>
  <si>
    <t>Intercept =</t>
  </si>
  <si>
    <t>Mantle</t>
  </si>
  <si>
    <r>
      <t>(87Sr/86Sr)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</si>
  <si>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(143Nd/144Nd)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</si>
  <si>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(143Nd/144Nd)</t>
    </r>
    <r>
      <rPr>
        <vertAlign val="subscript"/>
        <sz val="11"/>
        <color theme="1"/>
        <rFont val="Calibri"/>
        <family val="2"/>
        <scheme val="minor"/>
      </rPr>
      <t>0</t>
    </r>
  </si>
  <si>
    <r>
      <t>(87Sr/86Sr)</t>
    </r>
    <r>
      <rPr>
        <vertAlign val="subscript"/>
        <sz val="11"/>
        <color theme="1"/>
        <rFont val="Calibri"/>
        <family val="2"/>
        <scheme val="minor"/>
      </rPr>
      <t>0</t>
    </r>
  </si>
  <si>
    <t>Torridonian sandstone</t>
  </si>
  <si>
    <t>Lewisian amphibolite</t>
  </si>
  <si>
    <t>Lewisian granulite</t>
  </si>
  <si>
    <t>ES1 whole-rock</t>
  </si>
  <si>
    <t>ES1 feldspar</t>
  </si>
  <si>
    <t>ES1 glass</t>
  </si>
  <si>
    <t>ES3 whole-rock</t>
  </si>
  <si>
    <t>ES3 feldspar</t>
  </si>
  <si>
    <t>ES4 whole-rock</t>
  </si>
  <si>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scheme val="minor"/>
      </rPr>
      <t>(87Rb)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</si>
</sst>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Sgurr of</a:t>
            </a:r>
            <a:r>
              <a:rPr lang="en-GB" baseline="0"/>
              <a:t> Eigg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'Q2'!$B$2:$B$7</c:f>
              <c:numCache>
                <c:formatCode>General</c:formatCode>
                <c:ptCount val="6"/>
                <c:pt idx="0">
                  <c:v>14.65</c:v>
                </c:pt>
                <c:pt idx="1">
                  <c:v>1.79</c:v>
                </c:pt>
                <c:pt idx="2">
                  <c:v>34.97</c:v>
                </c:pt>
                <c:pt idx="3">
                  <c:v>9.3800000000000008</c:v>
                </c:pt>
                <c:pt idx="4">
                  <c:v>1.29</c:v>
                </c:pt>
                <c:pt idx="5">
                  <c:v>10.63</c:v>
                </c:pt>
              </c:numCache>
            </c:numRef>
          </c:xVal>
          <c:yVal>
            <c:numRef>
              <c:f>'Q2'!$C$2:$C$7</c:f>
              <c:numCache>
                <c:formatCode>General</c:formatCode>
                <c:ptCount val="6"/>
                <c:pt idx="0">
                  <c:v>0.72370000000000001</c:v>
                </c:pt>
                <c:pt idx="1">
                  <c:v>0.71414</c:v>
                </c:pt>
                <c:pt idx="2">
                  <c:v>0.73928000000000005</c:v>
                </c:pt>
                <c:pt idx="3">
                  <c:v>0.71972999999999998</c:v>
                </c:pt>
                <c:pt idx="4">
                  <c:v>0.71382999999999996</c:v>
                </c:pt>
                <c:pt idx="5">
                  <c:v>0.72070000000000001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9A-44C3-A9EB-96FFC03DE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851504"/>
        <c:axId val="1315851920"/>
      </c:scatterChart>
      <c:valAx>
        <c:axId val="131585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87Rb/86Sr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51920"/>
        <c:crosses val="autoZero"/>
        <c:crossBetween val="midCat"/>
      </c:valAx>
      <c:valAx>
        <c:axId val="13158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87Sr/86Sr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5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'Q2'!$A$22</c:f>
              <c:strCache>
                <c:ptCount val="1"/>
                <c:pt idx="0">
                  <c:v>Mantle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'Q2'!$B$22</c:f>
              <c:numCache>
                <c:formatCode>General</c:formatCode>
                <c:ptCount val="1"/>
                <c:pt idx="0">
                  <c:v>0.70279999999999998</c:v>
                </c:pt>
              </c:numCache>
            </c:numRef>
          </c:xVal>
          <c:yVal>
            <c:numRef>
              <c:f>'Q2'!$C$22</c:f>
              <c:numCache>
                <c:formatCode>General</c:formatCode>
                <c:ptCount val="1"/>
                <c:pt idx="0">
                  <c:v>0.51300000000000001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F-4A1D-9A7C-63B887070AF4}"/>
            </c:ext>
          </c:extLst>
        </c:ser>
        <c:ser>
          <c:idx val="1"/>
          <c:order val="1"/>
          <c:tx>
            <c:strRef>
              <c:f>'Q2'!$A$23</c:f>
              <c:strCache>
                <c:ptCount val="1"/>
                <c:pt idx="0">
                  <c:v>Torridonian sandstone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'Q2'!$B$23</c:f>
              <c:numCache>
                <c:formatCode>General</c:formatCode>
                <c:ptCount val="1"/>
                <c:pt idx="0">
                  <c:v>0.74060000000000004</c:v>
                </c:pt>
              </c:numCache>
            </c:numRef>
          </c:xVal>
          <c:yVal>
            <c:numRef>
              <c:f>'Q2'!$C$23</c:f>
              <c:numCache>
                <c:formatCode>General</c:formatCode>
                <c:ptCount val="1"/>
                <c:pt idx="0">
                  <c:v>0.51178000000000001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AF-4A1D-9A7C-63B887070AF4}"/>
            </c:ext>
          </c:extLst>
        </c:ser>
        <c:ser>
          <c:idx val="2"/>
          <c:order val="2"/>
          <c:tx>
            <c:strRef>
              <c:f>'Q2'!$A$24</c:f>
              <c:strCache>
                <c:ptCount val="1"/>
                <c:pt idx="0">
                  <c:v>Lewisian amphibolite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'Q2'!$B$24</c:f>
              <c:numCache>
                <c:formatCode>General</c:formatCode>
                <c:ptCount val="1"/>
                <c:pt idx="0">
                  <c:v>0.71740000000000004</c:v>
                </c:pt>
              </c:numCache>
            </c:numRef>
          </c:xVal>
          <c:yVal>
            <c:numRef>
              <c:f>'Q2'!$C$24</c:f>
              <c:numCache>
                <c:formatCode>General</c:formatCode>
                <c:ptCount val="1"/>
                <c:pt idx="0">
                  <c:v>0.51082000000000005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AF-4A1D-9A7C-63B887070AF4}"/>
            </c:ext>
          </c:extLst>
        </c:ser>
        <c:ser>
          <c:idx val="3"/>
          <c:order val="3"/>
          <c:tx>
            <c:strRef>
              <c:f>'Q2'!$A$25</c:f>
              <c:strCache>
                <c:ptCount val="1"/>
                <c:pt idx="0">
                  <c:v>Lewisian granulite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'Q2'!$B$25:$C$25</c:f>
              <c:numCache>
                <c:formatCode>General</c:formatCode>
                <c:ptCount val="2"/>
                <c:pt idx="0">
                  <c:v>0.70299999999999996</c:v>
                </c:pt>
                <c:pt idx="1">
                  <c:v>0.51082000000000005</c:v>
                </c:pt>
              </c:numCache>
            </c:numRef>
          </c:xVal>
          <c:yVal>
            <c:numRef>
              <c:f>'Q2'!$C$25</c:f>
              <c:numCache>
                <c:formatCode>General</c:formatCode>
                <c:ptCount val="1"/>
                <c:pt idx="0">
                  <c:v>0.51082000000000005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AF-4A1D-9A7C-63B887070AF4}"/>
            </c:ext>
          </c:extLst>
        </c:ser>
        <c:ser>
          <c:idx val="4"/>
          <c:order val="4"/>
          <c:tx>
            <c:v>Sgurr of Eigg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'Q2'!$B$17</c:f>
              <c:numCache>
                <c:formatCode>General</c:formatCode>
                <c:ptCount val="1"/>
                <c:pt idx="0">
                  <c:v>0.7127</c:v>
                </c:pt>
              </c:numCache>
            </c:numRef>
          </c:xVal>
          <c:yVal>
            <c:numRef>
              <c:f>'Q2'!$B$19</c:f>
              <c:numCache>
                <c:formatCode>General</c:formatCode>
                <c:ptCount val="1"/>
                <c:pt idx="0">
                  <c:v>0.51146000000000003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AF-4A1D-9A7C-63B887070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553904"/>
        <c:axId val="1068551824"/>
      </c:scatterChart>
      <c:valAx>
        <c:axId val="106855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87Sr/86Sr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51824"/>
        <c:crosses val="autoZero"/>
        <c:crossBetween val="midCat"/>
      </c:valAx>
      <c:valAx>
        <c:axId val="10685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143Nd/144Nd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5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DFA237-1524-4644-8C82-0C34FB0E6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11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9131A1-8CB0-433B-9771-02234B9D7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A10" sqref="A10"/>
    </sheetView>
  </sheetViews>
  <sheetFormatPr defaultRowHeight="14.5" x14ac:dyDescent="0.35"/>
  <cols>
    <col min="1" max="1" width="21.1796875" bestFit="1" customWidth="1"/>
    <col min="2" max="2" width="12" bestFit="1" customWidth="1"/>
    <col min="3" max="3" width="15.2695312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14</v>
      </c>
      <c r="B2">
        <v>14.65</v>
      </c>
      <c r="C2">
        <v>0.72370000000000001</v>
      </c>
    </row>
    <row r="3" spans="1:3" x14ac:dyDescent="0.35">
      <c r="A3" t="s">
        <v>15</v>
      </c>
      <c r="B3">
        <v>1.79</v>
      </c>
      <c r="C3">
        <v>0.71414</v>
      </c>
    </row>
    <row r="4" spans="1:3" x14ac:dyDescent="0.35">
      <c r="A4" t="s">
        <v>16</v>
      </c>
      <c r="B4">
        <v>34.97</v>
      </c>
      <c r="C4">
        <v>0.73928000000000005</v>
      </c>
    </row>
    <row r="5" spans="1:3" x14ac:dyDescent="0.35">
      <c r="A5" t="s">
        <v>17</v>
      </c>
      <c r="B5">
        <v>9.3800000000000008</v>
      </c>
      <c r="C5">
        <v>0.71972999999999998</v>
      </c>
    </row>
    <row r="6" spans="1:3" x14ac:dyDescent="0.35">
      <c r="A6" t="s">
        <v>18</v>
      </c>
      <c r="B6">
        <v>1.29</v>
      </c>
      <c r="C6">
        <v>0.71382999999999996</v>
      </c>
    </row>
    <row r="7" spans="1:3" x14ac:dyDescent="0.35">
      <c r="A7" t="s">
        <v>19</v>
      </c>
      <c r="B7">
        <v>10.63</v>
      </c>
      <c r="C7">
        <v>0.72070000000000001</v>
      </c>
    </row>
    <row r="9" spans="1:3" x14ac:dyDescent="0.35">
      <c r="A9" t="s">
        <v>20</v>
      </c>
      <c r="B9">
        <f>1.42*10^-11</f>
        <v>1.4199999999999998E-11</v>
      </c>
      <c r="C9" t="s">
        <v>2</v>
      </c>
    </row>
    <row r="11" spans="1:3" x14ac:dyDescent="0.35">
      <c r="A11" t="s">
        <v>4</v>
      </c>
      <c r="B11">
        <v>8.0000000000000004E-4</v>
      </c>
    </row>
    <row r="12" spans="1:3" x14ac:dyDescent="0.35">
      <c r="B12">
        <f>LN(B11+1)/B9</f>
        <v>56315504.969312973</v>
      </c>
      <c r="C12" t="s">
        <v>2</v>
      </c>
    </row>
    <row r="13" spans="1:3" x14ac:dyDescent="0.35">
      <c r="B13">
        <f>B12/1000000</f>
        <v>56.315504969312975</v>
      </c>
      <c r="C13" t="s">
        <v>3</v>
      </c>
    </row>
    <row r="16" spans="1:3" x14ac:dyDescent="0.35">
      <c r="A16" t="s">
        <v>5</v>
      </c>
      <c r="B16">
        <v>0.7127</v>
      </c>
    </row>
    <row r="17" spans="1:3" ht="16.5" x14ac:dyDescent="0.45">
      <c r="A17" t="s">
        <v>7</v>
      </c>
      <c r="B17">
        <f>B16</f>
        <v>0.7127</v>
      </c>
    </row>
    <row r="19" spans="1:3" ht="16.5" x14ac:dyDescent="0.45">
      <c r="A19" t="s">
        <v>8</v>
      </c>
      <c r="B19">
        <v>0.51146000000000003</v>
      </c>
    </row>
    <row r="21" spans="1:3" ht="16.5" x14ac:dyDescent="0.45">
      <c r="B21" t="s">
        <v>10</v>
      </c>
      <c r="C21" t="s">
        <v>9</v>
      </c>
    </row>
    <row r="22" spans="1:3" x14ac:dyDescent="0.35">
      <c r="A22" t="s">
        <v>6</v>
      </c>
      <c r="B22">
        <v>0.70279999999999998</v>
      </c>
      <c r="C22">
        <v>0.51300000000000001</v>
      </c>
    </row>
    <row r="23" spans="1:3" x14ac:dyDescent="0.35">
      <c r="A23" t="s">
        <v>11</v>
      </c>
      <c r="B23">
        <v>0.74060000000000004</v>
      </c>
      <c r="C23">
        <v>0.51178000000000001</v>
      </c>
    </row>
    <row r="24" spans="1:3" x14ac:dyDescent="0.35">
      <c r="A24" t="s">
        <v>12</v>
      </c>
      <c r="B24">
        <v>0.71740000000000004</v>
      </c>
      <c r="C24">
        <v>0.51082000000000005</v>
      </c>
    </row>
    <row r="25" spans="1:3" x14ac:dyDescent="0.35">
      <c r="A25" t="s">
        <v>13</v>
      </c>
      <c r="B25">
        <v>0.70299999999999996</v>
      </c>
      <c r="C25">
        <v>0.51082000000000005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Neave</dc:creator>
  <cp:lastModifiedBy>David Neave</cp:lastModifiedBy>
  <dcterms:created xsi:type="dcterms:W3CDTF">2021-10-12T09:52:38Z</dcterms:created>
  <dcterms:modified xsi:type="dcterms:W3CDTF">2022-09-20T15:08:55Z</dcterms:modified>
</cp:coreProperties>
</file>