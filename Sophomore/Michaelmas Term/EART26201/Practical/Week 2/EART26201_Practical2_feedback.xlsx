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 Neave\Dropbox\Teaching UG\UG\EART2\EART26201 2023 Principles of Geochemistry\EART26201_2023_Week2_The age and provenance of rocks\practical\"/>
    </mc:Choice>
  </mc:AlternateContent>
  <xr:revisionPtr revIDLastSave="0" documentId="13_ncr:1_{96FBA1F1-5F94-4B77-9EC6-B6029961242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Question 1" sheetId="5" r:id="rId1"/>
    <sheet name="Question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1" i="2" l="1"/>
  <c r="F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F68" i="2" s="1"/>
  <c r="C68" i="2"/>
  <c r="B69" i="2"/>
  <c r="C69" i="2"/>
  <c r="B70" i="2"/>
  <c r="F70" i="2" s="1"/>
  <c r="C70" i="2"/>
  <c r="B71" i="2"/>
  <c r="C71" i="2"/>
  <c r="C61" i="2"/>
  <c r="B61" i="2"/>
  <c r="B73" i="5"/>
  <c r="B76" i="5"/>
  <c r="B77" i="5" s="1"/>
  <c r="B42" i="5"/>
  <c r="B43" i="5" s="1"/>
  <c r="B39" i="5"/>
  <c r="B30" i="5"/>
  <c r="B31" i="5" s="1"/>
  <c r="B27" i="5"/>
  <c r="B78" i="5" l="1"/>
  <c r="F66" i="2"/>
  <c r="F64" i="2"/>
  <c r="F62" i="2"/>
  <c r="F71" i="2"/>
  <c r="E69" i="2"/>
  <c r="E67" i="2"/>
  <c r="E65" i="2"/>
  <c r="E63" i="2"/>
  <c r="D70" i="2"/>
  <c r="E68" i="2"/>
  <c r="D66" i="2"/>
  <c r="E64" i="2"/>
  <c r="D62" i="2"/>
  <c r="E71" i="2"/>
  <c r="F67" i="2"/>
  <c r="F63" i="2"/>
  <c r="D71" i="2"/>
  <c r="D69" i="2"/>
  <c r="D67" i="2"/>
  <c r="D65" i="2"/>
  <c r="D63" i="2"/>
  <c r="F69" i="2"/>
  <c r="F65" i="2"/>
  <c r="E61" i="2"/>
  <c r="G61" i="2" s="1"/>
  <c r="D68" i="2"/>
  <c r="D64" i="2"/>
  <c r="E70" i="2"/>
  <c r="E66" i="2"/>
  <c r="E62" i="2"/>
  <c r="G62" i="2" s="1"/>
  <c r="B79" i="5"/>
  <c r="B44" i="5"/>
  <c r="B45" i="5" s="1"/>
  <c r="B32" i="5"/>
  <c r="B33" i="5" s="1"/>
  <c r="G69" i="2" l="1"/>
  <c r="G64" i="2"/>
  <c r="G66" i="2"/>
  <c r="G63" i="2"/>
  <c r="G70" i="2"/>
  <c r="G65" i="2"/>
  <c r="G68" i="2"/>
  <c r="G71" i="2"/>
  <c r="G67" i="2"/>
</calcChain>
</file>

<file path=xl/sharedStrings.xml><?xml version="1.0" encoding="utf-8"?>
<sst xmlns="http://schemas.openxmlformats.org/spreadsheetml/2006/main" count="94" uniqueCount="67">
  <si>
    <t>Sr</t>
  </si>
  <si>
    <t>Glass</t>
  </si>
  <si>
    <t>Tridymite/quartz</t>
  </si>
  <si>
    <t>Pyroxene</t>
  </si>
  <si>
    <t>Whole-rock</t>
  </si>
  <si>
    <t>Feldspar</t>
  </si>
  <si>
    <t>87Sr/86Sr</t>
  </si>
  <si>
    <t>87Rb/86Sr</t>
  </si>
  <si>
    <t>years</t>
  </si>
  <si>
    <r>
      <rPr>
        <sz val="11"/>
        <color theme="1"/>
        <rFont val="Calibri"/>
        <family val="2"/>
      </rPr>
      <t>λ</t>
    </r>
    <r>
      <rPr>
        <sz val="11"/>
        <color theme="1"/>
        <rFont val="Calibri"/>
        <family val="2"/>
        <scheme val="minor"/>
      </rPr>
      <t>(</t>
    </r>
    <r>
      <rPr>
        <vertAlign val="superscript"/>
        <sz val="11"/>
        <color theme="1"/>
        <rFont val="Calibri"/>
        <family val="2"/>
        <scheme val="minor"/>
      </rPr>
      <t>87</t>
    </r>
    <r>
      <rPr>
        <sz val="11"/>
        <color theme="1"/>
        <rFont val="Calibri"/>
        <family val="2"/>
        <scheme val="minor"/>
      </rPr>
      <t>Rb)=</t>
    </r>
  </si>
  <si>
    <t>Slope = (e^(λt)-1) =</t>
  </si>
  <si>
    <t>Ga</t>
  </si>
  <si>
    <t>e^(λt) =</t>
  </si>
  <si>
    <t>λt =</t>
  </si>
  <si>
    <t>t =</t>
  </si>
  <si>
    <r>
      <t>(</t>
    </r>
    <r>
      <rPr>
        <vertAlign val="superscript"/>
        <sz val="11"/>
        <color theme="1"/>
        <rFont val="Calibri"/>
        <family val="2"/>
        <scheme val="minor"/>
      </rPr>
      <t>87</t>
    </r>
    <r>
      <rPr>
        <sz val="11"/>
        <color theme="1"/>
        <rFont val="Calibri"/>
        <family val="2"/>
        <scheme val="minor"/>
      </rPr>
      <t>Sr/</t>
    </r>
    <r>
      <rPr>
        <vertAlign val="superscript"/>
        <sz val="11"/>
        <color theme="1"/>
        <rFont val="Calibri"/>
        <family val="2"/>
        <scheme val="minor"/>
      </rPr>
      <t>86</t>
    </r>
    <r>
      <rPr>
        <sz val="11"/>
        <color theme="1"/>
        <rFont val="Calibri"/>
        <family val="2"/>
        <scheme val="minor"/>
      </rPr>
      <t>Sr)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</t>
    </r>
  </si>
  <si>
    <t>Plagioclase A</t>
  </si>
  <si>
    <t>Diopside D</t>
  </si>
  <si>
    <t>Diopside G</t>
  </si>
  <si>
    <t>Diopside H</t>
  </si>
  <si>
    <t>Juvinas</t>
  </si>
  <si>
    <t>Nakhla</t>
  </si>
  <si>
    <t>Pyroxene 1</t>
  </si>
  <si>
    <t>143Nd/144Nd</t>
  </si>
  <si>
    <t>147Sm/144Nd</t>
  </si>
  <si>
    <t>Whole-rock 1</t>
  </si>
  <si>
    <t>Pyroxene 2</t>
  </si>
  <si>
    <t>Whole-rock 2</t>
  </si>
  <si>
    <r>
      <rPr>
        <sz val="11"/>
        <color theme="1"/>
        <rFont val="Calibri"/>
        <family val="2"/>
      </rPr>
      <t>λ</t>
    </r>
    <r>
      <rPr>
        <sz val="11"/>
        <color theme="1"/>
        <rFont val="Calibri"/>
        <family val="2"/>
        <scheme val="minor"/>
      </rPr>
      <t>(</t>
    </r>
    <r>
      <rPr>
        <vertAlign val="superscript"/>
        <sz val="11"/>
        <color theme="1"/>
        <rFont val="Calibri"/>
        <family val="2"/>
        <scheme val="minor"/>
      </rPr>
      <t>147</t>
    </r>
    <r>
      <rPr>
        <sz val="11"/>
        <color theme="1"/>
        <rFont val="Calibri"/>
        <family val="2"/>
        <scheme val="minor"/>
      </rPr>
      <t>Sm)=</t>
    </r>
  </si>
  <si>
    <t>G3</t>
  </si>
  <si>
    <t>G4</t>
  </si>
  <si>
    <t>G26</t>
  </si>
  <si>
    <t>G30</t>
  </si>
  <si>
    <t>G33</t>
  </si>
  <si>
    <t>G35</t>
  </si>
  <si>
    <t>G44</t>
  </si>
  <si>
    <t>G49</t>
  </si>
  <si>
    <t>G55</t>
  </si>
  <si>
    <t>G56</t>
  </si>
  <si>
    <t>G57</t>
  </si>
  <si>
    <t>G58</t>
  </si>
  <si>
    <t>G67</t>
  </si>
  <si>
    <t>G64</t>
  </si>
  <si>
    <t>Crust</t>
  </si>
  <si>
    <r>
      <t>Sr (</t>
    </r>
    <r>
      <rPr>
        <sz val="11"/>
        <color theme="1"/>
        <rFont val="Calibri"/>
        <family val="2"/>
        <scheme val="minor"/>
      </rPr>
      <t>µ</t>
    </r>
    <r>
      <rPr>
        <sz val="9.35"/>
        <color theme="1"/>
        <rFont val="Calibri"/>
        <family val="2"/>
        <scheme val="minor"/>
      </rPr>
      <t>g/g)</t>
    </r>
  </si>
  <si>
    <t>No isochron can be fitted</t>
  </si>
  <si>
    <t>Add 1</t>
  </si>
  <si>
    <t>take natural logarthm (ln())</t>
  </si>
  <si>
    <t>Divide by λ</t>
  </si>
  <si>
    <t>Convert to Ga</t>
  </si>
  <si>
    <t>b) Sr isochron diagram - Juvianas AND f) Sr isochron diagram  - Nakhla</t>
  </si>
  <si>
    <t>d) Age of Juvinas</t>
  </si>
  <si>
    <r>
      <t>e) Juvinas (</t>
    </r>
    <r>
      <rPr>
        <b/>
        <vertAlign val="superscript"/>
        <sz val="11"/>
        <color theme="1"/>
        <rFont val="Calibri"/>
        <family val="2"/>
        <scheme val="minor"/>
      </rPr>
      <t>87</t>
    </r>
    <r>
      <rPr>
        <b/>
        <sz val="11"/>
        <color theme="1"/>
        <rFont val="Calibri"/>
        <family val="2"/>
        <scheme val="minor"/>
      </rPr>
      <t>Sr/</t>
    </r>
    <r>
      <rPr>
        <b/>
        <vertAlign val="superscript"/>
        <sz val="11"/>
        <color theme="1"/>
        <rFont val="Calibri"/>
        <family val="2"/>
        <scheme val="minor"/>
      </rPr>
      <t>86</t>
    </r>
    <r>
      <rPr>
        <b/>
        <sz val="11"/>
        <color theme="1"/>
        <rFont val="Calibri"/>
        <family val="2"/>
        <scheme val="minor"/>
      </rPr>
      <t>Sr)</t>
    </r>
    <r>
      <rPr>
        <b/>
        <vertAlign val="subscript"/>
        <sz val="11"/>
        <color theme="1"/>
        <rFont val="Calibri"/>
        <family val="2"/>
        <scheme val="minor"/>
      </rPr>
      <t>0</t>
    </r>
  </si>
  <si>
    <t>f) Age of Nakhla</t>
  </si>
  <si>
    <r>
      <t>g) Nakhla (</t>
    </r>
    <r>
      <rPr>
        <b/>
        <vertAlign val="superscript"/>
        <sz val="11"/>
        <color theme="1"/>
        <rFont val="Calibri"/>
        <family val="2"/>
        <scheme val="minor"/>
      </rPr>
      <t>87</t>
    </r>
    <r>
      <rPr>
        <b/>
        <sz val="11"/>
        <color theme="1"/>
        <rFont val="Calibri"/>
        <family val="2"/>
        <scheme val="minor"/>
      </rPr>
      <t>Sr/</t>
    </r>
    <r>
      <rPr>
        <b/>
        <vertAlign val="superscript"/>
        <sz val="11"/>
        <color theme="1"/>
        <rFont val="Calibri"/>
        <family val="2"/>
        <scheme val="minor"/>
      </rPr>
      <t>86</t>
    </r>
    <r>
      <rPr>
        <b/>
        <sz val="11"/>
        <color theme="1"/>
        <rFont val="Calibri"/>
        <family val="2"/>
        <scheme val="minor"/>
      </rPr>
      <t>Sr)</t>
    </r>
    <r>
      <rPr>
        <b/>
        <vertAlign val="subscript"/>
        <sz val="11"/>
        <color theme="1"/>
        <rFont val="Calibri"/>
        <family val="2"/>
        <scheme val="minor"/>
      </rPr>
      <t>0</t>
    </r>
  </si>
  <si>
    <t>h) Nd isochron diagram  - Nakhla</t>
  </si>
  <si>
    <t xml:space="preserve">Sr concentrations and Rb-Sr isotopic compositions of samples from Cerro Galán </t>
  </si>
  <si>
    <t>a) Isochron diagram</t>
  </si>
  <si>
    <t>b) Trace element and isotope plot</t>
  </si>
  <si>
    <t>c) Mixing calculations</t>
  </si>
  <si>
    <t>Proportion of crustal material</t>
  </si>
  <si>
    <t>Proportion Sr from Crust (B/(B+C))</t>
  </si>
  <si>
    <t>Proportion Sr from G49 (C+/(B+C))</t>
  </si>
  <si>
    <r>
      <t xml:space="preserve">Sr from Crust (A </t>
    </r>
    <r>
      <rPr>
        <sz val="11"/>
        <color theme="1"/>
        <rFont val="Calibri"/>
        <family val="2"/>
      </rPr>
      <t>×</t>
    </r>
    <r>
      <rPr>
        <sz val="11"/>
        <color theme="1"/>
        <rFont val="Calibri"/>
        <family val="2"/>
        <scheme val="minor"/>
      </rPr>
      <t xml:space="preserve"> Sr in crust)</t>
    </r>
  </si>
  <si>
    <t>Sr from G49  ((1-A) × Sr in G49)</t>
  </si>
  <si>
    <t>Mixed Sr concentrations (B+C)</t>
  </si>
  <si>
    <t>Mixed Sr isotope values ((D × Sr isotope in Crust)+(E × Sr isotope in G49))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</si>
</sst>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0.0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9.3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1" applyNumberFormat="1" applyFont="1"/>
    <xf numFmtId="2" fontId="0" fillId="0" borderId="0" xfId="1" applyNumberFormat="1" applyFont="1"/>
    <xf numFmtId="2" fontId="2" fillId="0" borderId="0" xfId="0" applyNumberFormat="1" applyFont="1"/>
    <xf numFmtId="0" fontId="0" fillId="0" borderId="1" xfId="0" applyBorder="1"/>
    <xf numFmtId="0" fontId="3" fillId="0" borderId="1" xfId="0" applyFont="1" applyBorder="1"/>
    <xf numFmtId="0" fontId="2" fillId="0" borderId="0" xfId="0" applyFont="1"/>
    <xf numFmtId="0" fontId="6" fillId="0" borderId="0" xfId="0" applyFont="1"/>
    <xf numFmtId="2" fontId="0" fillId="0" borderId="1" xfId="1" applyNumberFormat="1" applyFont="1" applyBorder="1"/>
    <xf numFmtId="0" fontId="0" fillId="0" borderId="3" xfId="0" applyBorder="1"/>
    <xf numFmtId="0" fontId="0" fillId="0" borderId="2" xfId="0" applyBorder="1"/>
    <xf numFmtId="2" fontId="6" fillId="0" borderId="0" xfId="1" applyNumberFormat="1" applyFont="1"/>
    <xf numFmtId="2" fontId="6" fillId="0" borderId="0" xfId="0" applyNumberFormat="1" applyFont="1" applyAlignment="1">
      <alignment vertical="center" wrapText="1"/>
    </xf>
    <xf numFmtId="164" fontId="2" fillId="0" borderId="0" xfId="0" applyNumberFormat="1" applyFont="1"/>
    <xf numFmtId="0" fontId="2" fillId="0" borderId="3" xfId="0" applyFont="1" applyBorder="1"/>
    <xf numFmtId="0" fontId="2" fillId="0" borderId="1" xfId="0" applyFont="1" applyBorder="1"/>
    <xf numFmtId="0" fontId="2" fillId="0" borderId="2" xfId="0" applyFont="1" applyBorder="1"/>
    <xf numFmtId="1" fontId="0" fillId="0" borderId="0" xfId="1" applyNumberFormat="1" applyFont="1"/>
    <xf numFmtId="165" fontId="0" fillId="0" borderId="0" xfId="1" applyNumberFormat="1" applyFont="1"/>
    <xf numFmtId="165" fontId="0" fillId="0" borderId="0" xfId="0" applyNumberFormat="1"/>
    <xf numFmtId="2" fontId="0" fillId="0" borderId="0" xfId="0" applyNumberFormat="1" applyAlignment="1">
      <alignment vertical="center" wrapText="1"/>
    </xf>
    <xf numFmtId="1" fontId="0" fillId="0" borderId="0" xfId="0" applyNumberFormat="1"/>
    <xf numFmtId="2" fontId="0" fillId="0" borderId="0" xfId="0" applyNumberFormat="1"/>
    <xf numFmtId="1" fontId="0" fillId="0" borderId="1" xfId="0" applyNumberFormat="1" applyBorder="1"/>
    <xf numFmtId="165" fontId="0" fillId="0" borderId="1" xfId="0" applyNumberFormat="1" applyBorder="1"/>
    <xf numFmtId="2" fontId="0" fillId="0" borderId="1" xfId="0" applyNumberFormat="1" applyBorder="1"/>
    <xf numFmtId="0" fontId="3" fillId="0" borderId="1" xfId="1" applyNumberFormat="1" applyFont="1" applyBorder="1"/>
    <xf numFmtId="1" fontId="0" fillId="0" borderId="1" xfId="1" applyNumberFormat="1" applyFont="1" applyBorder="1"/>
    <xf numFmtId="165" fontId="0" fillId="0" borderId="1" xfId="1" applyNumberFormat="1" applyFont="1" applyBorder="1"/>
    <xf numFmtId="1" fontId="2" fillId="0" borderId="0" xfId="0" applyNumberFormat="1" applyFont="1"/>
    <xf numFmtId="165" fontId="2" fillId="0" borderId="0" xfId="0" applyNumberFormat="1" applyFont="1"/>
    <xf numFmtId="1" fontId="2" fillId="0" borderId="0" xfId="1" applyNumberFormat="1" applyFont="1"/>
    <xf numFmtId="165" fontId="2" fillId="0" borderId="0" xfId="1" applyNumberFormat="1" applyFont="1"/>
    <xf numFmtId="1" fontId="3" fillId="0" borderId="1" xfId="0" applyNumberFormat="1" applyFont="1" applyBorder="1"/>
    <xf numFmtId="165" fontId="3" fillId="0" borderId="1" xfId="0" applyNumberFormat="1" applyFont="1" applyBorder="1"/>
    <xf numFmtId="2" fontId="3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Juvinas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'Question 1'!$B$4:$B$8</c:f>
              <c:numCache>
                <c:formatCode>General</c:formatCode>
                <c:ptCount val="5"/>
                <c:pt idx="0">
                  <c:v>0.09</c:v>
                </c:pt>
                <c:pt idx="1">
                  <c:v>2.4E-2</c:v>
                </c:pt>
                <c:pt idx="2">
                  <c:v>8.9999999999999993E-3</c:v>
                </c:pt>
                <c:pt idx="3">
                  <c:v>6.0000000000000001E-3</c:v>
                </c:pt>
                <c:pt idx="4">
                  <c:v>5.0000000000000001E-3</c:v>
                </c:pt>
              </c:numCache>
            </c:numRef>
          </c:xVal>
          <c:yVal>
            <c:numRef>
              <c:f>'Question 1'!$C$4:$C$8</c:f>
              <c:numCache>
                <c:formatCode>General</c:formatCode>
                <c:ptCount val="5"/>
                <c:pt idx="0">
                  <c:v>0.70489999999999997</c:v>
                </c:pt>
                <c:pt idx="1">
                  <c:v>0.7006</c:v>
                </c:pt>
                <c:pt idx="2">
                  <c:v>0.6996</c:v>
                </c:pt>
                <c:pt idx="3">
                  <c:v>0.69940000000000002</c:v>
                </c:pt>
                <c:pt idx="4">
                  <c:v>0.69930000000000003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F3-44EA-BD5F-957E449DDA6A}"/>
            </c:ext>
          </c:extLst>
        </c:ser>
        <c:ser>
          <c:idx val="1"/>
          <c:order val="1"/>
          <c:tx>
            <c:v>Nahkla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7827898384582131E-2"/>
                  <c:y val="9.60276319626713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'Question 1'!$F$4:$F$7</c:f>
              <c:numCache>
                <c:formatCode>General</c:formatCode>
                <c:ptCount val="4"/>
                <c:pt idx="0">
                  <c:v>0.13830000000000001</c:v>
                </c:pt>
                <c:pt idx="1">
                  <c:v>9.3700000000000006E-2</c:v>
                </c:pt>
                <c:pt idx="2">
                  <c:v>5.2200000000000003E-2</c:v>
                </c:pt>
                <c:pt idx="3">
                  <c:v>0.1232</c:v>
                </c:pt>
              </c:numCache>
            </c:numRef>
          </c:xVal>
          <c:yVal>
            <c:numRef>
              <c:f>'Question 1'!$G$4:$G$7</c:f>
              <c:numCache>
                <c:formatCode>General</c:formatCode>
                <c:ptCount val="4"/>
                <c:pt idx="0">
                  <c:v>0.70491999999999999</c:v>
                </c:pt>
                <c:pt idx="1">
                  <c:v>0.70421</c:v>
                </c:pt>
                <c:pt idx="2">
                  <c:v>0.70343999999999995</c:v>
                </c:pt>
                <c:pt idx="3">
                  <c:v>0.70469000000000004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F3-44EA-BD5F-957E449DD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998575"/>
        <c:axId val="1508991087"/>
      </c:scatterChart>
      <c:valAx>
        <c:axId val="150899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30000"/>
                  <a:t>87</a:t>
                </a:r>
                <a:r>
                  <a:rPr lang="en-GB"/>
                  <a:t>Rb/</a:t>
                </a:r>
                <a:r>
                  <a:rPr lang="en-GB" baseline="30000"/>
                  <a:t>86</a:t>
                </a:r>
                <a:r>
                  <a:rPr lang="en-GB"/>
                  <a:t>Sr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991087"/>
        <c:crosses val="autoZero"/>
        <c:crossBetween val="midCat"/>
      </c:valAx>
      <c:valAx>
        <c:axId val="150899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30000"/>
                  <a:t>87</a:t>
                </a:r>
                <a:r>
                  <a:rPr lang="en-GB"/>
                  <a:t>Sr/</a:t>
                </a:r>
                <a:r>
                  <a:rPr lang="en-GB" baseline="30000"/>
                  <a:t>86</a:t>
                </a:r>
                <a:r>
                  <a:rPr lang="en-GB"/>
                  <a:t>Sr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998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Nahkla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7757499530528734E-2"/>
                  <c:y val="1.81018518518518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'Question 1'!$B$53:$B$56</c:f>
              <c:numCache>
                <c:formatCode>General</c:formatCode>
                <c:ptCount val="4"/>
                <c:pt idx="0">
                  <c:v>9.887E-2</c:v>
                </c:pt>
                <c:pt idx="1">
                  <c:v>0.10284</c:v>
                </c:pt>
                <c:pt idx="2">
                  <c:v>0.15054000000000001</c:v>
                </c:pt>
                <c:pt idx="3">
                  <c:v>0.15209</c:v>
                </c:pt>
              </c:numCache>
            </c:numRef>
          </c:xVal>
          <c:yVal>
            <c:numRef>
              <c:f>'Question 1'!$C$53:$C$56</c:f>
              <c:numCache>
                <c:formatCode>General</c:formatCode>
                <c:ptCount val="4"/>
                <c:pt idx="0">
                  <c:v>0.51262799999999997</c:v>
                </c:pt>
                <c:pt idx="1">
                  <c:v>0.51266</c:v>
                </c:pt>
                <c:pt idx="2">
                  <c:v>0.51309300000000002</c:v>
                </c:pt>
                <c:pt idx="3">
                  <c:v>0.51305800000000001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DA-4B0B-BFB1-8046740CF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998575"/>
        <c:axId val="1508991087"/>
      </c:scatterChart>
      <c:valAx>
        <c:axId val="150899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30000"/>
                  <a:t>147</a:t>
                </a:r>
                <a:r>
                  <a:rPr lang="en-GB"/>
                  <a:t>Sm/</a:t>
                </a:r>
                <a:r>
                  <a:rPr lang="en-GB" baseline="30000"/>
                  <a:t>144</a:t>
                </a:r>
                <a:r>
                  <a:rPr lang="en-GB"/>
                  <a:t>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991087"/>
        <c:crosses val="autoZero"/>
        <c:crossBetween val="midCat"/>
      </c:valAx>
      <c:valAx>
        <c:axId val="150899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30000"/>
                  <a:t>143</a:t>
                </a:r>
                <a:r>
                  <a:rPr lang="en-GB"/>
                  <a:t>Nd/</a:t>
                </a:r>
                <a:r>
                  <a:rPr lang="en-GB" baseline="30000"/>
                  <a:t>144</a:t>
                </a:r>
                <a:r>
                  <a:rPr lang="en-GB"/>
                  <a:t>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998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43255337483227"/>
          <c:y val="0.14393518518518519"/>
          <c:w val="0.59063319138560144"/>
          <c:h val="0.64218394575678028"/>
        </c:manualLayout>
      </c:layout>
      <c:scatterChart>
        <c:scatterStyle val="lineMarker"/>
        <c:varyColors val="0"/>
        <c:ser>
          <c:idx val="0"/>
          <c:order val="0"/>
          <c:tx>
            <c:v>Cerro Galan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B68-4AF4-8BD0-4AC1FBAB81B6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B68-4AF4-8BD0-4AC1FBAB81B6}"/>
              </c:ext>
            </c:extLst>
          </c:dPt>
          <c:xVal>
            <c:numRef>
              <c:f>'Question 2'!$B$4:$B$17</c:f>
              <c:numCache>
                <c:formatCode>0</c:formatCode>
                <c:ptCount val="14"/>
                <c:pt idx="0">
                  <c:v>434</c:v>
                </c:pt>
                <c:pt idx="1">
                  <c:v>661</c:v>
                </c:pt>
                <c:pt idx="2">
                  <c:v>259</c:v>
                </c:pt>
                <c:pt idx="3">
                  <c:v>327</c:v>
                </c:pt>
                <c:pt idx="4">
                  <c:v>548</c:v>
                </c:pt>
                <c:pt idx="5">
                  <c:v>442</c:v>
                </c:pt>
                <c:pt idx="6">
                  <c:v>645</c:v>
                </c:pt>
                <c:pt idx="7">
                  <c:v>698</c:v>
                </c:pt>
                <c:pt idx="8">
                  <c:v>477</c:v>
                </c:pt>
                <c:pt idx="9">
                  <c:v>317</c:v>
                </c:pt>
                <c:pt idx="10">
                  <c:v>470</c:v>
                </c:pt>
                <c:pt idx="11">
                  <c:v>238</c:v>
                </c:pt>
                <c:pt idx="12">
                  <c:v>246</c:v>
                </c:pt>
                <c:pt idx="13">
                  <c:v>236</c:v>
                </c:pt>
              </c:numCache>
            </c:numRef>
          </c:xVal>
          <c:yVal>
            <c:numRef>
              <c:f>'Question 2'!$D$4:$D$17</c:f>
              <c:numCache>
                <c:formatCode>0.00000</c:formatCode>
                <c:ptCount val="14"/>
                <c:pt idx="0">
                  <c:v>0.70952999999999999</c:v>
                </c:pt>
                <c:pt idx="1">
                  <c:v>0.70596999999999999</c:v>
                </c:pt>
                <c:pt idx="2">
                  <c:v>0.71099000000000001</c:v>
                </c:pt>
                <c:pt idx="3">
                  <c:v>0.70984999999999998</c:v>
                </c:pt>
                <c:pt idx="4">
                  <c:v>0.70660000000000001</c:v>
                </c:pt>
                <c:pt idx="5">
                  <c:v>0.70852000000000004</c:v>
                </c:pt>
                <c:pt idx="6">
                  <c:v>0.70626999999999995</c:v>
                </c:pt>
                <c:pt idx="7">
                  <c:v>0.70569000000000004</c:v>
                </c:pt>
                <c:pt idx="8">
                  <c:v>0.70730999999999999</c:v>
                </c:pt>
                <c:pt idx="9">
                  <c:v>0.70909</c:v>
                </c:pt>
                <c:pt idx="10">
                  <c:v>0.70889999999999997</c:v>
                </c:pt>
                <c:pt idx="11">
                  <c:v>0.71155000000000002</c:v>
                </c:pt>
                <c:pt idx="12">
                  <c:v>0.71177000000000001</c:v>
                </c:pt>
                <c:pt idx="13">
                  <c:v>0.71145000000000003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B68-4AF4-8BD0-4AC1FBAB81B6}"/>
            </c:ext>
          </c:extLst>
        </c:ser>
        <c:ser>
          <c:idx val="1"/>
          <c:order val="1"/>
          <c:tx>
            <c:v>Mixing line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'Question 2'!$F$61:$F$71</c:f>
              <c:numCache>
                <c:formatCode>0.00</c:formatCode>
                <c:ptCount val="11"/>
                <c:pt idx="0">
                  <c:v>698</c:v>
                </c:pt>
                <c:pt idx="1">
                  <c:v>643.20000000000005</c:v>
                </c:pt>
                <c:pt idx="2">
                  <c:v>588.4</c:v>
                </c:pt>
                <c:pt idx="3">
                  <c:v>533.59999999999991</c:v>
                </c:pt>
                <c:pt idx="4">
                  <c:v>478.8</c:v>
                </c:pt>
                <c:pt idx="5">
                  <c:v>424</c:v>
                </c:pt>
                <c:pt idx="6">
                  <c:v>369.2</c:v>
                </c:pt>
                <c:pt idx="7">
                  <c:v>314.40000000000003</c:v>
                </c:pt>
                <c:pt idx="8">
                  <c:v>259.59999999999997</c:v>
                </c:pt>
                <c:pt idx="9">
                  <c:v>204.79999999999998</c:v>
                </c:pt>
                <c:pt idx="10">
                  <c:v>150</c:v>
                </c:pt>
              </c:numCache>
            </c:numRef>
          </c:xVal>
          <c:yVal>
            <c:numRef>
              <c:f>'Question 2'!$G$61:$G$71</c:f>
              <c:numCache>
                <c:formatCode>0.00000</c:formatCode>
                <c:ptCount val="11"/>
                <c:pt idx="0">
                  <c:v>0.70569000000000004</c:v>
                </c:pt>
                <c:pt idx="1">
                  <c:v>0.70597708022388062</c:v>
                </c:pt>
                <c:pt idx="2">
                  <c:v>0.70631763426240657</c:v>
                </c:pt>
                <c:pt idx="3">
                  <c:v>0.70672813718140937</c:v>
                </c:pt>
                <c:pt idx="4">
                  <c:v>0.70723260651629072</c:v>
                </c:pt>
                <c:pt idx="5">
                  <c:v>0.70786747641509429</c:v>
                </c:pt>
                <c:pt idx="6">
                  <c:v>0.70869081256771393</c:v>
                </c:pt>
                <c:pt idx="7">
                  <c:v>0.70980116412213745</c:v>
                </c:pt>
                <c:pt idx="8">
                  <c:v>0.71138029275808934</c:v>
                </c:pt>
                <c:pt idx="9">
                  <c:v>0.71380450195312495</c:v>
                </c:pt>
                <c:pt idx="10">
                  <c:v>0.71799999999999997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B68-4AF4-8BD0-4AC1FBAB81B6}"/>
            </c:ext>
          </c:extLst>
        </c:ser>
        <c:ser>
          <c:idx val="2"/>
          <c:order val="2"/>
          <c:tx>
            <c:strRef>
              <c:f>'Question 2'!$A$12</c:f>
              <c:strCache>
                <c:ptCount val="1"/>
                <c:pt idx="0">
                  <c:v>G55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'Question 2'!$B$12</c:f>
              <c:numCache>
                <c:formatCode>0</c:formatCode>
                <c:ptCount val="1"/>
                <c:pt idx="0">
                  <c:v>477</c:v>
                </c:pt>
              </c:numCache>
            </c:numRef>
          </c:xVal>
          <c:yVal>
            <c:numRef>
              <c:f>'Question 2'!$D$12</c:f>
              <c:numCache>
                <c:formatCode>0.00000</c:formatCode>
                <c:ptCount val="1"/>
                <c:pt idx="0">
                  <c:v>0.70730999999999999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B68-4AF4-8BD0-4AC1FBAB81B6}"/>
            </c:ext>
          </c:extLst>
        </c:ser>
        <c:ser>
          <c:idx val="3"/>
          <c:order val="3"/>
          <c:tx>
            <c:strRef>
              <c:f>'Question 2'!$A$6</c:f>
              <c:strCache>
                <c:ptCount val="1"/>
                <c:pt idx="0">
                  <c:v>G26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'Question 2'!$B$6</c:f>
              <c:numCache>
                <c:formatCode>0</c:formatCode>
                <c:ptCount val="1"/>
                <c:pt idx="0">
                  <c:v>259</c:v>
                </c:pt>
              </c:numCache>
            </c:numRef>
          </c:xVal>
          <c:yVal>
            <c:numRef>
              <c:f>'Question 2'!$D$6</c:f>
              <c:numCache>
                <c:formatCode>0.00000</c:formatCode>
                <c:ptCount val="1"/>
                <c:pt idx="0">
                  <c:v>0.71099000000000001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B68-4AF4-8BD0-4AC1FBAB8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620591"/>
        <c:axId val="1661626831"/>
      </c:scatterChart>
      <c:valAx>
        <c:axId val="166162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/>
                  <a:t>Sr (ug/g)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626831"/>
        <c:crosses val="autoZero"/>
        <c:crossBetween val="midCat"/>
      </c:valAx>
      <c:valAx>
        <c:axId val="166162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30000"/>
                  <a:t>87</a:t>
                </a:r>
                <a:r>
                  <a:rPr lang="en-GB"/>
                  <a:t>Sr/</a:t>
                </a:r>
                <a:r>
                  <a:rPr lang="en-GB" baseline="30000"/>
                  <a:t>86</a:t>
                </a:r>
                <a:r>
                  <a:rPr lang="en-GB"/>
                  <a:t>Sr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620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43918964976617"/>
          <c:y val="0.17171296296296298"/>
          <c:w val="0.75396381780752819"/>
          <c:h val="0.63292468649752109"/>
        </c:manualLayout>
      </c:layout>
      <c:scatterChart>
        <c:scatterStyle val="lineMarker"/>
        <c:varyColors val="0"/>
        <c:ser>
          <c:idx val="0"/>
          <c:order val="0"/>
          <c:tx>
            <c:v>Cerro Galan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'Question 2'!$C$4:$C$17</c:f>
              <c:numCache>
                <c:formatCode>0.00000</c:formatCode>
                <c:ptCount val="14"/>
                <c:pt idx="0">
                  <c:v>0.77900000000000003</c:v>
                </c:pt>
                <c:pt idx="1">
                  <c:v>0.27200000000000002</c:v>
                </c:pt>
                <c:pt idx="2">
                  <c:v>2.3969999999999998</c:v>
                </c:pt>
                <c:pt idx="3">
                  <c:v>0.17230000000000001</c:v>
                </c:pt>
                <c:pt idx="4">
                  <c:v>0.252</c:v>
                </c:pt>
                <c:pt idx="5">
                  <c:v>0.59899999999999998</c:v>
                </c:pt>
                <c:pt idx="6">
                  <c:v>0.23200000000000001</c:v>
                </c:pt>
                <c:pt idx="7">
                  <c:v>0.24299999999999999</c:v>
                </c:pt>
                <c:pt idx="8">
                  <c:v>0.45400000000000001</c:v>
                </c:pt>
                <c:pt idx="9">
                  <c:v>1.673</c:v>
                </c:pt>
                <c:pt idx="10">
                  <c:v>0.54700000000000004</c:v>
                </c:pt>
                <c:pt idx="11">
                  <c:v>2.7360000000000002</c:v>
                </c:pt>
                <c:pt idx="12">
                  <c:v>3.1619999999999999</c:v>
                </c:pt>
                <c:pt idx="13">
                  <c:v>3.1070000000000002</c:v>
                </c:pt>
              </c:numCache>
            </c:numRef>
          </c:xVal>
          <c:yVal>
            <c:numRef>
              <c:f>'Question 2'!$D$4:$D$17</c:f>
              <c:numCache>
                <c:formatCode>0.00000</c:formatCode>
                <c:ptCount val="14"/>
                <c:pt idx="0">
                  <c:v>0.70952999999999999</c:v>
                </c:pt>
                <c:pt idx="1">
                  <c:v>0.70596999999999999</c:v>
                </c:pt>
                <c:pt idx="2">
                  <c:v>0.71099000000000001</c:v>
                </c:pt>
                <c:pt idx="3">
                  <c:v>0.70984999999999998</c:v>
                </c:pt>
                <c:pt idx="4">
                  <c:v>0.70660000000000001</c:v>
                </c:pt>
                <c:pt idx="5">
                  <c:v>0.70852000000000004</c:v>
                </c:pt>
                <c:pt idx="6">
                  <c:v>0.70626999999999995</c:v>
                </c:pt>
                <c:pt idx="7">
                  <c:v>0.70569000000000004</c:v>
                </c:pt>
                <c:pt idx="8">
                  <c:v>0.70730999999999999</c:v>
                </c:pt>
                <c:pt idx="9">
                  <c:v>0.70909</c:v>
                </c:pt>
                <c:pt idx="10">
                  <c:v>0.70889999999999997</c:v>
                </c:pt>
                <c:pt idx="11">
                  <c:v>0.71155000000000002</c:v>
                </c:pt>
                <c:pt idx="12">
                  <c:v>0.71177000000000001</c:v>
                </c:pt>
                <c:pt idx="13">
                  <c:v>0.71145000000000003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DE-4818-956D-E54B5E4FE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620591"/>
        <c:axId val="1661626831"/>
      </c:scatterChart>
      <c:valAx>
        <c:axId val="166162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30000"/>
                  <a:t>87</a:t>
                </a:r>
                <a:r>
                  <a:rPr lang="en-GB"/>
                  <a:t>Rb/</a:t>
                </a:r>
                <a:r>
                  <a:rPr lang="en-GB" baseline="30000"/>
                  <a:t>86</a:t>
                </a:r>
                <a:r>
                  <a:rPr lang="en-GB"/>
                  <a:t>Sr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626831"/>
        <c:crosses val="autoZero"/>
        <c:crossBetween val="midCat"/>
      </c:valAx>
      <c:valAx>
        <c:axId val="166162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30000"/>
                  <a:t>87</a:t>
                </a:r>
                <a:r>
                  <a:rPr lang="en-GB"/>
                  <a:t>Sr/</a:t>
                </a:r>
                <a:r>
                  <a:rPr lang="en-GB" baseline="30000"/>
                  <a:t>86</a:t>
                </a:r>
                <a:r>
                  <a:rPr lang="en-GB"/>
                  <a:t>Sr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62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342900</xdr:colOff>
      <xdr:row>23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321EEB-8CA8-4310-9B91-527CA9F8D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7</xdr:col>
      <xdr:colOff>342900</xdr:colOff>
      <xdr:row>71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8F8E309-5183-44A3-8515-25A554AC81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176894</xdr:colOff>
      <xdr:row>36</xdr:row>
      <xdr:rowOff>163286</xdr:rowOff>
    </xdr:from>
    <xdr:to>
      <xdr:col>2</xdr:col>
      <xdr:colOff>1646465</xdr:colOff>
      <xdr:row>51</xdr:row>
      <xdr:rowOff>48986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0F8A43-EA22-40BD-AB2E-52A6F4BF4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136071</xdr:colOff>
      <xdr:row>20</xdr:row>
      <xdr:rowOff>40821</xdr:rowOff>
    </xdr:from>
    <xdr:to>
      <xdr:col>2</xdr:col>
      <xdr:colOff>1156606</xdr:colOff>
      <xdr:row>34</xdr:row>
      <xdr:rowOff>117021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463D08-1342-41AE-B85B-D154CA6AD7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opLeftCell="A49" zoomScale="70" zoomScaleNormal="70" workbookViewId="0">
      <selection activeCell="F53" sqref="F53"/>
    </sheetView>
  </sheetViews>
  <sheetFormatPr defaultColWidth="8.7109375" defaultRowHeight="15" x14ac:dyDescent="0.25"/>
  <cols>
    <col min="1" max="1" width="18.7109375" style="7" bestFit="1" customWidth="1"/>
    <col min="2" max="3" width="13.28515625" style="7" bestFit="1" customWidth="1"/>
    <col min="4" max="4" width="8.7109375" style="7"/>
    <col min="5" max="5" width="14.28515625" style="7" bestFit="1" customWidth="1"/>
    <col min="6" max="6" width="9.28515625" style="7" bestFit="1" customWidth="1"/>
    <col min="7" max="7" width="9.7109375" style="7" bestFit="1" customWidth="1"/>
    <col min="8" max="8" width="8.7109375" style="7"/>
    <col min="9" max="9" width="10.5703125" style="7" bestFit="1" customWidth="1"/>
    <col min="10" max="10" width="11.7109375" style="7" bestFit="1" customWidth="1"/>
    <col min="11" max="16384" width="8.7109375" style="7"/>
  </cols>
  <sheetData>
    <row r="1" spans="1:8" customFormat="1" x14ac:dyDescent="0.25">
      <c r="A1" s="5" t="s">
        <v>50</v>
      </c>
      <c r="B1" s="4"/>
      <c r="C1" s="4"/>
      <c r="D1" s="4"/>
      <c r="E1" s="4"/>
      <c r="F1" s="4"/>
      <c r="G1" s="4"/>
      <c r="H1" s="4"/>
    </row>
    <row r="2" spans="1:8" customFormat="1" x14ac:dyDescent="0.25"/>
    <row r="3" spans="1:8" customFormat="1" x14ac:dyDescent="0.25">
      <c r="A3" s="14" t="s">
        <v>20</v>
      </c>
      <c r="B3" s="15" t="s">
        <v>7</v>
      </c>
      <c r="C3" s="15" t="s">
        <v>6</v>
      </c>
      <c r="E3" s="14" t="s">
        <v>21</v>
      </c>
      <c r="F3" s="15" t="s">
        <v>7</v>
      </c>
      <c r="G3" s="15" t="s">
        <v>6</v>
      </c>
    </row>
    <row r="4" spans="1:8" customFormat="1" x14ac:dyDescent="0.25">
      <c r="A4" s="16" t="s">
        <v>1</v>
      </c>
      <c r="B4" s="6">
        <v>0.09</v>
      </c>
      <c r="C4" s="6">
        <v>0.70489999999999997</v>
      </c>
      <c r="E4" s="16" t="s">
        <v>16</v>
      </c>
      <c r="F4" s="6">
        <v>0.13830000000000001</v>
      </c>
      <c r="G4" s="6">
        <v>0.70491999999999999</v>
      </c>
    </row>
    <row r="5" spans="1:8" customFormat="1" x14ac:dyDescent="0.25">
      <c r="A5" s="16" t="s">
        <v>2</v>
      </c>
      <c r="B5" s="6">
        <v>2.4E-2</v>
      </c>
      <c r="C5" s="6">
        <v>0.7006</v>
      </c>
      <c r="E5" s="16" t="s">
        <v>17</v>
      </c>
      <c r="F5" s="6">
        <v>9.3700000000000006E-2</v>
      </c>
      <c r="G5" s="6">
        <v>0.70421</v>
      </c>
    </row>
    <row r="6" spans="1:8" customFormat="1" x14ac:dyDescent="0.25">
      <c r="A6" s="16" t="s">
        <v>3</v>
      </c>
      <c r="B6" s="6">
        <v>8.9999999999999993E-3</v>
      </c>
      <c r="C6" s="6">
        <v>0.6996</v>
      </c>
      <c r="E6" s="16" t="s">
        <v>18</v>
      </c>
      <c r="F6" s="6">
        <v>5.2200000000000003E-2</v>
      </c>
      <c r="G6" s="6">
        <v>0.70343999999999995</v>
      </c>
    </row>
    <row r="7" spans="1:8" customFormat="1" x14ac:dyDescent="0.25">
      <c r="A7" s="16" t="s">
        <v>4</v>
      </c>
      <c r="B7" s="6">
        <v>6.0000000000000001E-3</v>
      </c>
      <c r="C7" s="6">
        <v>0.69940000000000002</v>
      </c>
      <c r="E7" s="16" t="s">
        <v>19</v>
      </c>
      <c r="F7" s="6">
        <v>0.1232</v>
      </c>
      <c r="G7" s="6">
        <v>0.70469000000000004</v>
      </c>
    </row>
    <row r="8" spans="1:8" customFormat="1" x14ac:dyDescent="0.25">
      <c r="A8" s="16" t="s">
        <v>5</v>
      </c>
      <c r="B8" s="6">
        <v>5.0000000000000001E-3</v>
      </c>
      <c r="C8" s="6">
        <v>0.69930000000000003</v>
      </c>
      <c r="E8" s="6"/>
      <c r="F8" s="6"/>
      <c r="G8" s="6"/>
    </row>
    <row r="9" spans="1:8" customFormat="1" x14ac:dyDescent="0.25"/>
    <row r="10" spans="1:8" customFormat="1" x14ac:dyDescent="0.25"/>
    <row r="11" spans="1:8" customFormat="1" x14ac:dyDescent="0.25"/>
    <row r="12" spans="1:8" customFormat="1" x14ac:dyDescent="0.25"/>
    <row r="13" spans="1:8" customFormat="1" x14ac:dyDescent="0.25"/>
    <row r="14" spans="1:8" customFormat="1" x14ac:dyDescent="0.25"/>
    <row r="15" spans="1:8" customFormat="1" x14ac:dyDescent="0.25"/>
    <row r="16" spans="1:8" customFormat="1" x14ac:dyDescent="0.25"/>
    <row r="17" spans="1:8" customFormat="1" x14ac:dyDescent="0.25"/>
    <row r="18" spans="1:8" customFormat="1" x14ac:dyDescent="0.25"/>
    <row r="19" spans="1:8" customFormat="1" x14ac:dyDescent="0.25"/>
    <row r="20" spans="1:8" customFormat="1" x14ac:dyDescent="0.25"/>
    <row r="21" spans="1:8" customFormat="1" x14ac:dyDescent="0.25"/>
    <row r="22" spans="1:8" customFormat="1" x14ac:dyDescent="0.25"/>
    <row r="23" spans="1:8" customFormat="1" x14ac:dyDescent="0.25"/>
    <row r="24" spans="1:8" customFormat="1" x14ac:dyDescent="0.25"/>
    <row r="25" spans="1:8" customFormat="1" x14ac:dyDescent="0.25"/>
    <row r="26" spans="1:8" customFormat="1" x14ac:dyDescent="0.25">
      <c r="A26" s="5" t="s">
        <v>51</v>
      </c>
      <c r="B26" s="4"/>
      <c r="C26" s="4"/>
      <c r="D26" s="4"/>
      <c r="E26" s="4"/>
      <c r="F26" s="4"/>
      <c r="G26" s="4"/>
      <c r="H26" s="4"/>
    </row>
    <row r="27" spans="1:8" customFormat="1" ht="17.25" x14ac:dyDescent="0.25">
      <c r="A27" t="s">
        <v>9</v>
      </c>
      <c r="B27">
        <f>1.42*10^-11</f>
        <v>1.4199999999999998E-11</v>
      </c>
      <c r="C27" t="s">
        <v>8</v>
      </c>
    </row>
    <row r="28" spans="1:8" customFormat="1" x14ac:dyDescent="0.25"/>
    <row r="29" spans="1:8" customFormat="1" x14ac:dyDescent="0.25">
      <c r="A29" s="6" t="s">
        <v>10</v>
      </c>
      <c r="B29" s="6">
        <v>6.5600000000000006E-2</v>
      </c>
      <c r="C29" s="6"/>
    </row>
    <row r="30" spans="1:8" customFormat="1" x14ac:dyDescent="0.25">
      <c r="A30" s="6" t="s">
        <v>12</v>
      </c>
      <c r="B30" s="6">
        <f>B29+1</f>
        <v>1.0656000000000001</v>
      </c>
      <c r="C30" s="6"/>
      <c r="D30" s="6" t="s">
        <v>46</v>
      </c>
    </row>
    <row r="31" spans="1:8" customFormat="1" x14ac:dyDescent="0.25">
      <c r="A31" s="6" t="s">
        <v>13</v>
      </c>
      <c r="B31" s="6">
        <f>LN(B30)</f>
        <v>6.3538020803987738E-2</v>
      </c>
      <c r="C31" s="6"/>
      <c r="D31" s="6" t="s">
        <v>47</v>
      </c>
    </row>
    <row r="32" spans="1:8" x14ac:dyDescent="0.25">
      <c r="A32" s="6" t="s">
        <v>14</v>
      </c>
      <c r="B32" s="6">
        <f>B31/B27</f>
        <v>4474508507.323081</v>
      </c>
      <c r="C32" s="6" t="s">
        <v>8</v>
      </c>
      <c r="D32" s="6" t="s">
        <v>48</v>
      </c>
    </row>
    <row r="33" spans="1:8" x14ac:dyDescent="0.25">
      <c r="A33" s="6" t="s">
        <v>14</v>
      </c>
      <c r="B33" s="3">
        <f>B32/10^9</f>
        <v>4.4745085073230806</v>
      </c>
      <c r="C33" s="6" t="s">
        <v>11</v>
      </c>
      <c r="D33" s="6" t="s">
        <v>49</v>
      </c>
    </row>
    <row r="34" spans="1:8" x14ac:dyDescent="0.25">
      <c r="A34" s="6"/>
      <c r="B34" s="6"/>
      <c r="C34" s="6"/>
      <c r="D34" s="6"/>
    </row>
    <row r="35" spans="1:8" ht="18.75" x14ac:dyDescent="0.35">
      <c r="A35" s="5" t="s">
        <v>52</v>
      </c>
      <c r="B35" s="4"/>
      <c r="C35" s="4"/>
      <c r="D35" s="4"/>
      <c r="E35" s="4"/>
      <c r="F35" s="4"/>
      <c r="G35" s="4"/>
      <c r="H35" s="4"/>
    </row>
    <row r="36" spans="1:8" ht="18.75" x14ac:dyDescent="0.35">
      <c r="A36" t="s">
        <v>15</v>
      </c>
      <c r="B36" s="6">
        <v>0.69899999999999995</v>
      </c>
      <c r="C36" s="6"/>
      <c r="D36" s="6"/>
    </row>
    <row r="37" spans="1:8" x14ac:dyDescent="0.25">
      <c r="A37" s="13"/>
      <c r="B37" s="6"/>
      <c r="C37" s="6"/>
      <c r="D37" s="6"/>
    </row>
    <row r="38" spans="1:8" x14ac:dyDescent="0.25">
      <c r="A38" s="5" t="s">
        <v>53</v>
      </c>
      <c r="B38" s="4"/>
      <c r="C38" s="4"/>
      <c r="D38" s="4"/>
      <c r="E38" s="4"/>
      <c r="F38" s="4"/>
      <c r="G38" s="4"/>
      <c r="H38" s="4"/>
    </row>
    <row r="39" spans="1:8" ht="17.25" x14ac:dyDescent="0.25">
      <c r="A39" t="s">
        <v>9</v>
      </c>
      <c r="B39">
        <f>1.42*10^-11</f>
        <v>1.4199999999999998E-11</v>
      </c>
      <c r="C39" t="s">
        <v>8</v>
      </c>
      <c r="D39"/>
      <c r="E39"/>
      <c r="F39"/>
      <c r="G39"/>
      <c r="H39"/>
    </row>
    <row r="40" spans="1:8" x14ac:dyDescent="0.25">
      <c r="A40"/>
      <c r="B40"/>
      <c r="C40"/>
      <c r="D40"/>
      <c r="E40"/>
      <c r="F40"/>
      <c r="G40"/>
      <c r="H40"/>
    </row>
    <row r="41" spans="1:8" x14ac:dyDescent="0.25">
      <c r="A41" s="6" t="s">
        <v>10</v>
      </c>
      <c r="B41" s="6">
        <v>1.72E-2</v>
      </c>
      <c r="C41" s="6"/>
      <c r="D41"/>
      <c r="E41"/>
      <c r="F41"/>
      <c r="G41"/>
      <c r="H41"/>
    </row>
    <row r="42" spans="1:8" x14ac:dyDescent="0.25">
      <c r="A42" s="6" t="s">
        <v>12</v>
      </c>
      <c r="B42" s="6">
        <f>B41+1</f>
        <v>1.0172000000000001</v>
      </c>
      <c r="C42" s="6"/>
      <c r="D42"/>
      <c r="E42"/>
      <c r="F42"/>
      <c r="G42"/>
      <c r="H42"/>
    </row>
    <row r="43" spans="1:8" x14ac:dyDescent="0.25">
      <c r="A43" s="6" t="s">
        <v>13</v>
      </c>
      <c r="B43" s="6">
        <f>LN(B42)</f>
        <v>1.7053754565827622E-2</v>
      </c>
      <c r="C43" s="6"/>
      <c r="D43"/>
      <c r="E43"/>
      <c r="F43"/>
      <c r="G43"/>
      <c r="H43"/>
    </row>
    <row r="44" spans="1:8" x14ac:dyDescent="0.25">
      <c r="A44" s="6" t="s">
        <v>14</v>
      </c>
      <c r="B44" s="6">
        <f>B43/B39</f>
        <v>1200968631.3963115</v>
      </c>
      <c r="C44" s="6" t="s">
        <v>8</v>
      </c>
    </row>
    <row r="45" spans="1:8" x14ac:dyDescent="0.25">
      <c r="A45" s="6" t="s">
        <v>14</v>
      </c>
      <c r="B45" s="3">
        <f>B44/10^9</f>
        <v>1.2009686313963115</v>
      </c>
      <c r="C45" s="6" t="s">
        <v>11</v>
      </c>
    </row>
    <row r="47" spans="1:8" ht="18.75" x14ac:dyDescent="0.35">
      <c r="A47" s="5" t="s">
        <v>54</v>
      </c>
      <c r="B47" s="4"/>
      <c r="C47" s="4"/>
      <c r="D47" s="4"/>
      <c r="E47" s="4"/>
      <c r="F47" s="4"/>
      <c r="G47" s="4"/>
      <c r="H47" s="4"/>
    </row>
    <row r="48" spans="1:8" ht="18.75" x14ac:dyDescent="0.35">
      <c r="A48" t="s">
        <v>15</v>
      </c>
      <c r="B48" s="6">
        <v>0.7026</v>
      </c>
      <c r="C48" s="6"/>
      <c r="D48" s="6"/>
    </row>
    <row r="50" spans="1:8" x14ac:dyDescent="0.25">
      <c r="A50" s="5" t="s">
        <v>55</v>
      </c>
      <c r="B50" s="4"/>
      <c r="C50" s="4"/>
      <c r="D50" s="4"/>
      <c r="E50" s="4"/>
      <c r="F50" s="4"/>
      <c r="G50" s="4"/>
      <c r="H50" s="4"/>
    </row>
    <row r="51" spans="1:8" x14ac:dyDescent="0.25">
      <c r="A51"/>
      <c r="B51"/>
      <c r="C51"/>
      <c r="D51"/>
      <c r="E51"/>
      <c r="F51"/>
      <c r="G51"/>
      <c r="H51"/>
    </row>
    <row r="52" spans="1:8" x14ac:dyDescent="0.25">
      <c r="A52" s="14" t="s">
        <v>21</v>
      </c>
      <c r="B52" s="15" t="s">
        <v>24</v>
      </c>
      <c r="C52" s="15" t="s">
        <v>23</v>
      </c>
      <c r="F52" s="6"/>
      <c r="G52" s="6"/>
      <c r="H52"/>
    </row>
    <row r="53" spans="1:8" x14ac:dyDescent="0.25">
      <c r="A53" s="16" t="s">
        <v>25</v>
      </c>
      <c r="B53" s="6">
        <v>9.887E-2</v>
      </c>
      <c r="C53" s="6">
        <v>0.51262799999999997</v>
      </c>
      <c r="E53" s="6"/>
      <c r="F53" s="6"/>
      <c r="G53" s="6"/>
      <c r="H53"/>
    </row>
    <row r="54" spans="1:8" x14ac:dyDescent="0.25">
      <c r="A54" s="16" t="s">
        <v>27</v>
      </c>
      <c r="B54" s="6">
        <v>0.10284</v>
      </c>
      <c r="C54" s="6">
        <v>0.51266</v>
      </c>
      <c r="E54" s="6"/>
      <c r="F54" s="6"/>
      <c r="G54" s="6"/>
      <c r="H54"/>
    </row>
    <row r="55" spans="1:8" x14ac:dyDescent="0.25">
      <c r="A55" s="16" t="s">
        <v>22</v>
      </c>
      <c r="B55" s="6">
        <v>0.15054000000000001</v>
      </c>
      <c r="C55" s="6">
        <v>0.51309300000000002</v>
      </c>
      <c r="E55" s="6"/>
      <c r="F55" s="6"/>
      <c r="G55" s="6"/>
      <c r="H55"/>
    </row>
    <row r="56" spans="1:8" x14ac:dyDescent="0.25">
      <c r="A56" s="16" t="s">
        <v>26</v>
      </c>
      <c r="B56" s="6">
        <v>0.15209</v>
      </c>
      <c r="C56" s="6">
        <v>0.51305800000000001</v>
      </c>
      <c r="E56" s="6"/>
      <c r="F56" s="6"/>
      <c r="G56" s="6"/>
      <c r="H56"/>
    </row>
    <row r="73" spans="1:3" ht="17.25" x14ac:dyDescent="0.25">
      <c r="A73" t="s">
        <v>28</v>
      </c>
      <c r="B73">
        <f>6.547*10^-12</f>
        <v>6.5469999999999995E-12</v>
      </c>
      <c r="C73" t="s">
        <v>8</v>
      </c>
    </row>
    <row r="74" spans="1:3" x14ac:dyDescent="0.25">
      <c r="A74"/>
      <c r="B74"/>
      <c r="C74"/>
    </row>
    <row r="75" spans="1:3" x14ac:dyDescent="0.25">
      <c r="A75" s="6" t="s">
        <v>10</v>
      </c>
      <c r="B75" s="6">
        <v>8.5000000000000006E-3</v>
      </c>
      <c r="C75" s="6"/>
    </row>
    <row r="76" spans="1:3" x14ac:dyDescent="0.25">
      <c r="A76" s="6" t="s">
        <v>12</v>
      </c>
      <c r="B76" s="6">
        <f>B75+1</f>
        <v>1.0085</v>
      </c>
      <c r="C76" s="6"/>
    </row>
    <row r="77" spans="1:3" x14ac:dyDescent="0.25">
      <c r="A77" s="6" t="s">
        <v>13</v>
      </c>
      <c r="B77" s="6">
        <f>LN(B76)</f>
        <v>8.4640784121293635E-3</v>
      </c>
      <c r="C77" s="6"/>
    </row>
    <row r="78" spans="1:3" x14ac:dyDescent="0.25">
      <c r="A78" s="6" t="s">
        <v>14</v>
      </c>
      <c r="B78" s="6">
        <f>B77/B73</f>
        <v>1292817842.0848272</v>
      </c>
      <c r="C78" s="6" t="s">
        <v>8</v>
      </c>
    </row>
    <row r="79" spans="1:3" x14ac:dyDescent="0.25">
      <c r="A79" s="6" t="s">
        <v>14</v>
      </c>
      <c r="B79" s="3">
        <f>B78/10^9</f>
        <v>1.2928178420848271</v>
      </c>
      <c r="C79" s="6" t="s">
        <v>11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1"/>
  <sheetViews>
    <sheetView tabSelected="1" topLeftCell="A51" zoomScale="70" zoomScaleNormal="70" workbookViewId="0">
      <selection activeCell="G55" sqref="G55"/>
    </sheetView>
  </sheetViews>
  <sheetFormatPr defaultColWidth="9.28515625" defaultRowHeight="15" x14ac:dyDescent="0.25"/>
  <cols>
    <col min="1" max="1" width="28.7109375" customWidth="1"/>
    <col min="2" max="2" width="27.85546875" style="21" bestFit="1" customWidth="1"/>
    <col min="3" max="3" width="30" style="19" bestFit="1" customWidth="1"/>
    <col min="4" max="4" width="33.140625" style="22" bestFit="1" customWidth="1"/>
    <col min="5" max="5" width="33.5703125" style="22" bestFit="1" customWidth="1"/>
    <col min="6" max="6" width="30.28515625" style="22" customWidth="1"/>
    <col min="7" max="7" width="67.42578125" style="22" bestFit="1" customWidth="1"/>
    <col min="8" max="8" width="21.5703125" style="22" bestFit="1" customWidth="1"/>
    <col min="9" max="9" width="22" style="22" bestFit="1" customWidth="1"/>
    <col min="10" max="10" width="8.7109375" style="22" customWidth="1"/>
  </cols>
  <sheetData>
    <row r="1" spans="1:10" x14ac:dyDescent="0.25">
      <c r="A1" s="5" t="s">
        <v>56</v>
      </c>
      <c r="B1" s="23"/>
      <c r="C1" s="24"/>
      <c r="D1" s="25"/>
      <c r="E1" s="25"/>
      <c r="F1" s="25"/>
      <c r="G1" s="25"/>
    </row>
    <row r="3" spans="1:10" x14ac:dyDescent="0.25">
      <c r="B3" s="17" t="s">
        <v>44</v>
      </c>
      <c r="C3" s="19" t="s">
        <v>7</v>
      </c>
      <c r="D3" s="18" t="s">
        <v>6</v>
      </c>
      <c r="E3" s="2"/>
      <c r="F3" s="2"/>
      <c r="G3" s="11"/>
      <c r="H3" s="12"/>
      <c r="I3" s="12"/>
      <c r="J3" s="20"/>
    </row>
    <row r="4" spans="1:10" x14ac:dyDescent="0.25">
      <c r="A4" t="s">
        <v>29</v>
      </c>
      <c r="B4" s="17">
        <v>434</v>
      </c>
      <c r="C4" s="19">
        <v>0.77900000000000003</v>
      </c>
      <c r="D4" s="18">
        <v>0.70952999999999999</v>
      </c>
      <c r="E4" s="2"/>
      <c r="F4" s="2"/>
      <c r="G4" s="11"/>
      <c r="H4" s="12"/>
      <c r="I4" s="12"/>
      <c r="J4" s="20"/>
    </row>
    <row r="5" spans="1:10" x14ac:dyDescent="0.25">
      <c r="A5" s="2" t="s">
        <v>30</v>
      </c>
      <c r="B5" s="17">
        <v>661</v>
      </c>
      <c r="C5" s="19">
        <v>0.27200000000000002</v>
      </c>
      <c r="D5" s="18">
        <v>0.70596999999999999</v>
      </c>
      <c r="E5" s="11"/>
      <c r="F5" s="11"/>
      <c r="G5" s="12"/>
      <c r="H5" s="12"/>
      <c r="I5" s="20"/>
      <c r="J5"/>
    </row>
    <row r="6" spans="1:10" x14ac:dyDescent="0.25">
      <c r="A6" t="s">
        <v>31</v>
      </c>
      <c r="B6" s="17">
        <v>259</v>
      </c>
      <c r="C6" s="19">
        <v>2.3969999999999998</v>
      </c>
      <c r="D6" s="18">
        <v>0.71099000000000001</v>
      </c>
      <c r="E6" s="2"/>
      <c r="F6" s="2"/>
      <c r="G6" s="11"/>
      <c r="H6" s="12"/>
      <c r="I6" s="12"/>
      <c r="J6" s="20"/>
    </row>
    <row r="7" spans="1:10" x14ac:dyDescent="0.25">
      <c r="A7" t="s">
        <v>32</v>
      </c>
      <c r="B7" s="17">
        <v>327</v>
      </c>
      <c r="C7" s="19">
        <v>0.17230000000000001</v>
      </c>
      <c r="D7" s="18">
        <v>0.70984999999999998</v>
      </c>
      <c r="E7" s="2"/>
      <c r="F7" s="2"/>
      <c r="G7" s="11"/>
      <c r="H7" s="12"/>
      <c r="I7" s="12"/>
      <c r="J7" s="20"/>
    </row>
    <row r="8" spans="1:10" x14ac:dyDescent="0.25">
      <c r="A8" s="2" t="s">
        <v>33</v>
      </c>
      <c r="B8" s="17">
        <v>548</v>
      </c>
      <c r="C8" s="19">
        <v>0.252</v>
      </c>
      <c r="D8" s="18">
        <v>0.70660000000000001</v>
      </c>
      <c r="E8" s="11"/>
      <c r="F8" s="11"/>
      <c r="G8" s="12"/>
      <c r="H8" s="12"/>
      <c r="I8" s="20"/>
      <c r="J8"/>
    </row>
    <row r="9" spans="1:10" x14ac:dyDescent="0.25">
      <c r="A9" t="s">
        <v>34</v>
      </c>
      <c r="B9" s="17">
        <v>442</v>
      </c>
      <c r="C9" s="19">
        <v>0.59899999999999998</v>
      </c>
      <c r="D9" s="18">
        <v>0.70852000000000004</v>
      </c>
      <c r="E9" s="2"/>
      <c r="F9" s="2"/>
      <c r="G9" s="11"/>
      <c r="H9" s="12"/>
      <c r="I9" s="12"/>
      <c r="J9" s="20"/>
    </row>
    <row r="10" spans="1:10" x14ac:dyDescent="0.25">
      <c r="A10" t="s">
        <v>35</v>
      </c>
      <c r="B10" s="17">
        <v>645</v>
      </c>
      <c r="C10" s="19">
        <v>0.23200000000000001</v>
      </c>
      <c r="D10" s="18">
        <v>0.70626999999999995</v>
      </c>
      <c r="E10" s="2"/>
      <c r="F10" s="2"/>
      <c r="G10" s="11"/>
      <c r="H10" s="12"/>
      <c r="I10" s="12"/>
      <c r="J10" s="20"/>
    </row>
    <row r="11" spans="1:10" x14ac:dyDescent="0.25">
      <c r="A11" t="s">
        <v>36</v>
      </c>
      <c r="B11" s="17">
        <v>698</v>
      </c>
      <c r="C11" s="19">
        <v>0.24299999999999999</v>
      </c>
      <c r="D11" s="18">
        <v>0.70569000000000004</v>
      </c>
      <c r="E11" s="2"/>
      <c r="F11" s="2"/>
      <c r="G11" s="11"/>
      <c r="H11" s="12"/>
      <c r="I11" s="12"/>
      <c r="J11" s="20"/>
    </row>
    <row r="12" spans="1:10" x14ac:dyDescent="0.25">
      <c r="A12" t="s">
        <v>37</v>
      </c>
      <c r="B12" s="17">
        <v>477</v>
      </c>
      <c r="C12" s="19">
        <v>0.45400000000000001</v>
      </c>
      <c r="D12" s="18">
        <v>0.70730999999999999</v>
      </c>
      <c r="E12" s="2"/>
      <c r="F12" s="2"/>
      <c r="G12" s="11"/>
      <c r="H12" s="12"/>
      <c r="I12" s="12"/>
      <c r="J12" s="20"/>
    </row>
    <row r="13" spans="1:10" x14ac:dyDescent="0.25">
      <c r="A13" t="s">
        <v>38</v>
      </c>
      <c r="B13" s="17">
        <v>317</v>
      </c>
      <c r="C13" s="19">
        <v>1.673</v>
      </c>
      <c r="D13" s="18">
        <v>0.70909</v>
      </c>
      <c r="E13" s="2"/>
      <c r="F13" s="2"/>
      <c r="G13" s="11"/>
      <c r="H13" s="12"/>
      <c r="I13" s="12"/>
      <c r="J13" s="20"/>
    </row>
    <row r="14" spans="1:10" x14ac:dyDescent="0.25">
      <c r="A14" t="s">
        <v>39</v>
      </c>
      <c r="B14" s="17">
        <v>470</v>
      </c>
      <c r="C14" s="19">
        <v>0.54700000000000004</v>
      </c>
      <c r="D14" s="18">
        <v>0.70889999999999997</v>
      </c>
      <c r="E14" s="2"/>
      <c r="F14" s="2"/>
      <c r="G14" s="11"/>
      <c r="H14" s="12"/>
      <c r="I14" s="12"/>
      <c r="J14" s="20"/>
    </row>
    <row r="15" spans="1:10" x14ac:dyDescent="0.25">
      <c r="A15" t="s">
        <v>40</v>
      </c>
      <c r="B15" s="17">
        <v>238</v>
      </c>
      <c r="C15" s="19">
        <v>2.7360000000000002</v>
      </c>
      <c r="D15" s="18">
        <v>0.71155000000000002</v>
      </c>
      <c r="E15" s="2"/>
      <c r="F15" s="2"/>
      <c r="G15" s="11"/>
      <c r="H15" s="12"/>
      <c r="I15" s="12"/>
      <c r="J15" s="20"/>
    </row>
    <row r="16" spans="1:10" x14ac:dyDescent="0.25">
      <c r="A16" t="s">
        <v>41</v>
      </c>
      <c r="B16" s="21">
        <v>246</v>
      </c>
      <c r="C16" s="19">
        <v>3.1619999999999999</v>
      </c>
      <c r="D16" s="19">
        <v>0.71177000000000001</v>
      </c>
    </row>
    <row r="17" spans="1:10" x14ac:dyDescent="0.25">
      <c r="A17" s="1" t="s">
        <v>42</v>
      </c>
      <c r="B17" s="17">
        <v>236</v>
      </c>
      <c r="C17" s="19">
        <v>3.1070000000000002</v>
      </c>
      <c r="D17" s="18">
        <v>0.71145000000000003</v>
      </c>
      <c r="E17" s="2"/>
      <c r="F17" s="2"/>
      <c r="G17" s="2"/>
      <c r="H17" s="2"/>
      <c r="I17" s="1"/>
      <c r="J17" s="2"/>
    </row>
    <row r="18" spans="1:10" x14ac:dyDescent="0.25">
      <c r="A18" s="1"/>
      <c r="B18" s="17"/>
      <c r="D18" s="18"/>
      <c r="E18" s="2"/>
      <c r="F18" s="2"/>
      <c r="G18" s="2"/>
      <c r="H18" s="2"/>
      <c r="I18" s="1"/>
      <c r="J18" s="2"/>
    </row>
    <row r="19" spans="1:10" x14ac:dyDescent="0.25">
      <c r="A19" s="26" t="s">
        <v>57</v>
      </c>
      <c r="B19" s="27"/>
      <c r="C19" s="24"/>
      <c r="D19" s="28"/>
      <c r="E19" s="8"/>
      <c r="F19" s="8"/>
      <c r="G19" s="8"/>
      <c r="H19" s="2"/>
      <c r="I19" s="1"/>
      <c r="J19" s="2"/>
    </row>
    <row r="20" spans="1:10" x14ac:dyDescent="0.25">
      <c r="D20" s="19"/>
    </row>
    <row r="23" spans="1:10" x14ac:dyDescent="0.25">
      <c r="D23" s="3" t="s">
        <v>45</v>
      </c>
    </row>
    <row r="36" spans="1:7" x14ac:dyDescent="0.25">
      <c r="A36" s="5" t="s">
        <v>58</v>
      </c>
      <c r="B36" s="23"/>
      <c r="C36" s="24"/>
      <c r="D36" s="25"/>
      <c r="E36" s="25"/>
      <c r="F36" s="25"/>
      <c r="G36" s="25"/>
    </row>
    <row r="54" spans="1:10" x14ac:dyDescent="0.25">
      <c r="A54" s="5" t="s">
        <v>59</v>
      </c>
      <c r="B54" s="33"/>
      <c r="C54" s="34"/>
      <c r="D54" s="35"/>
      <c r="E54" s="35"/>
      <c r="F54" s="35"/>
      <c r="G54" s="35"/>
    </row>
    <row r="56" spans="1:10" x14ac:dyDescent="0.25">
      <c r="A56" s="9"/>
      <c r="B56" s="27" t="s">
        <v>0</v>
      </c>
      <c r="C56" s="28" t="s">
        <v>6</v>
      </c>
    </row>
    <row r="57" spans="1:10" x14ac:dyDescent="0.25">
      <c r="A57" s="16" t="s">
        <v>36</v>
      </c>
      <c r="B57" s="31">
        <v>698</v>
      </c>
      <c r="C57" s="32">
        <v>0.70569000000000004</v>
      </c>
      <c r="E57" s="2"/>
      <c r="F57" s="2"/>
      <c r="G57" s="11"/>
      <c r="H57" s="12"/>
      <c r="I57" s="12"/>
      <c r="J57" s="20"/>
    </row>
    <row r="58" spans="1:10" x14ac:dyDescent="0.25">
      <c r="A58" s="10" t="s">
        <v>43</v>
      </c>
      <c r="B58" s="21">
        <v>150</v>
      </c>
      <c r="C58" s="19">
        <v>0.71799999999999997</v>
      </c>
    </row>
    <row r="60" spans="1:10" x14ac:dyDescent="0.25">
      <c r="A60" s="9" t="s">
        <v>60</v>
      </c>
      <c r="B60" s="23" t="s">
        <v>63</v>
      </c>
      <c r="C60" s="24" t="s">
        <v>64</v>
      </c>
      <c r="D60" s="25" t="s">
        <v>61</v>
      </c>
      <c r="E60" s="25" t="s">
        <v>62</v>
      </c>
      <c r="F60" s="25" t="s">
        <v>65</v>
      </c>
      <c r="G60" s="25" t="s">
        <v>66</v>
      </c>
    </row>
    <row r="61" spans="1:10" x14ac:dyDescent="0.25">
      <c r="A61" s="10">
        <v>0</v>
      </c>
      <c r="B61" s="21">
        <f>A61*$B$58</f>
        <v>0</v>
      </c>
      <c r="C61" s="19">
        <f>(1-A61)*$B$57</f>
        <v>698</v>
      </c>
      <c r="D61" s="3">
        <f>B61/SUM(B61:C61)</f>
        <v>0</v>
      </c>
      <c r="E61" s="3">
        <f>C61/SUM(B61:C61)</f>
        <v>1</v>
      </c>
      <c r="F61" s="3">
        <f>SUM(B61:C61)</f>
        <v>698</v>
      </c>
      <c r="G61" s="30">
        <f>(D61*$C$58)+(E61*$C$57)</f>
        <v>0.70569000000000004</v>
      </c>
    </row>
    <row r="62" spans="1:10" x14ac:dyDescent="0.25">
      <c r="A62" s="10">
        <v>0.1</v>
      </c>
      <c r="B62" s="29">
        <f t="shared" ref="B62:B71" si="0">A62*$B$58</f>
        <v>15</v>
      </c>
      <c r="C62" s="30">
        <f t="shared" ref="C62:C71" si="1">(1-A62)*$B$57</f>
        <v>628.20000000000005</v>
      </c>
      <c r="D62" s="3">
        <f t="shared" ref="D62:D71" si="2">B62/SUM(B62:C62)</f>
        <v>2.3320895522388058E-2</v>
      </c>
      <c r="E62" s="3">
        <f t="shared" ref="E62:E71" si="3">C62/SUM(B62:C62)</f>
        <v>0.97667910447761197</v>
      </c>
      <c r="F62" s="3">
        <f t="shared" ref="F62:F71" si="4">SUM(B62:C62)</f>
        <v>643.20000000000005</v>
      </c>
      <c r="G62" s="30">
        <f t="shared" ref="G62:G71" si="5">(D62*$C$58)+(E62*$C$57)</f>
        <v>0.70597708022388062</v>
      </c>
    </row>
    <row r="63" spans="1:10" x14ac:dyDescent="0.25">
      <c r="A63" s="10">
        <v>0.2</v>
      </c>
      <c r="B63" s="29">
        <f t="shared" si="0"/>
        <v>30</v>
      </c>
      <c r="C63" s="30">
        <f t="shared" si="1"/>
        <v>558.4</v>
      </c>
      <c r="D63" s="3">
        <f t="shared" si="2"/>
        <v>5.0985723997280762E-2</v>
      </c>
      <c r="E63" s="3">
        <f t="shared" si="3"/>
        <v>0.94901427600271926</v>
      </c>
      <c r="F63" s="3">
        <f t="shared" si="4"/>
        <v>588.4</v>
      </c>
      <c r="G63" s="30">
        <f t="shared" si="5"/>
        <v>0.70631763426240657</v>
      </c>
    </row>
    <row r="64" spans="1:10" x14ac:dyDescent="0.25">
      <c r="A64" s="10">
        <v>0.3</v>
      </c>
      <c r="B64" s="29">
        <f t="shared" si="0"/>
        <v>45</v>
      </c>
      <c r="C64" s="30">
        <f t="shared" si="1"/>
        <v>488.59999999999997</v>
      </c>
      <c r="D64" s="3">
        <f t="shared" si="2"/>
        <v>8.4332833583208408E-2</v>
      </c>
      <c r="E64" s="3">
        <f t="shared" si="3"/>
        <v>0.91566716641679169</v>
      </c>
      <c r="F64" s="3">
        <f t="shared" si="4"/>
        <v>533.59999999999991</v>
      </c>
      <c r="G64" s="30">
        <f t="shared" si="5"/>
        <v>0.70672813718140937</v>
      </c>
    </row>
    <row r="65" spans="1:7" x14ac:dyDescent="0.25">
      <c r="A65" s="10">
        <v>0.4</v>
      </c>
      <c r="B65" s="29">
        <f t="shared" si="0"/>
        <v>60</v>
      </c>
      <c r="C65" s="30">
        <f t="shared" si="1"/>
        <v>418.8</v>
      </c>
      <c r="D65" s="3">
        <f t="shared" si="2"/>
        <v>0.12531328320802004</v>
      </c>
      <c r="E65" s="3">
        <f t="shared" si="3"/>
        <v>0.87468671679197996</v>
      </c>
      <c r="F65" s="3">
        <f t="shared" si="4"/>
        <v>478.8</v>
      </c>
      <c r="G65" s="30">
        <f t="shared" si="5"/>
        <v>0.70723260651629072</v>
      </c>
    </row>
    <row r="66" spans="1:7" x14ac:dyDescent="0.25">
      <c r="A66" s="10">
        <v>0.5</v>
      </c>
      <c r="B66" s="29">
        <f t="shared" si="0"/>
        <v>75</v>
      </c>
      <c r="C66" s="30">
        <f t="shared" si="1"/>
        <v>349</v>
      </c>
      <c r="D66" s="3">
        <f t="shared" si="2"/>
        <v>0.17688679245283018</v>
      </c>
      <c r="E66" s="3">
        <f t="shared" si="3"/>
        <v>0.82311320754716977</v>
      </c>
      <c r="F66" s="3">
        <f t="shared" si="4"/>
        <v>424</v>
      </c>
      <c r="G66" s="30">
        <f t="shared" si="5"/>
        <v>0.70786747641509429</v>
      </c>
    </row>
    <row r="67" spans="1:7" x14ac:dyDescent="0.25">
      <c r="A67" s="10">
        <v>0.6</v>
      </c>
      <c r="B67" s="29">
        <f t="shared" si="0"/>
        <v>90</v>
      </c>
      <c r="C67" s="30">
        <f t="shared" si="1"/>
        <v>279.2</v>
      </c>
      <c r="D67" s="3">
        <f t="shared" si="2"/>
        <v>0.24377031419284942</v>
      </c>
      <c r="E67" s="3">
        <f t="shared" si="3"/>
        <v>0.75622968580715055</v>
      </c>
      <c r="F67" s="3">
        <f t="shared" si="4"/>
        <v>369.2</v>
      </c>
      <c r="G67" s="30">
        <f t="shared" si="5"/>
        <v>0.70869081256771393</v>
      </c>
    </row>
    <row r="68" spans="1:7" x14ac:dyDescent="0.25">
      <c r="A68" s="10">
        <v>0.7</v>
      </c>
      <c r="B68" s="29">
        <f t="shared" si="0"/>
        <v>105</v>
      </c>
      <c r="C68" s="30">
        <f t="shared" si="1"/>
        <v>209.40000000000003</v>
      </c>
      <c r="D68" s="3">
        <f t="shared" si="2"/>
        <v>0.33396946564885494</v>
      </c>
      <c r="E68" s="3">
        <f t="shared" si="3"/>
        <v>0.66603053435114512</v>
      </c>
      <c r="F68" s="3">
        <f t="shared" si="4"/>
        <v>314.40000000000003</v>
      </c>
      <c r="G68" s="30">
        <f t="shared" si="5"/>
        <v>0.70980116412213745</v>
      </c>
    </row>
    <row r="69" spans="1:7" x14ac:dyDescent="0.25">
      <c r="A69" s="10">
        <v>0.8</v>
      </c>
      <c r="B69" s="29">
        <f t="shared" si="0"/>
        <v>120</v>
      </c>
      <c r="C69" s="30">
        <f t="shared" si="1"/>
        <v>139.59999999999997</v>
      </c>
      <c r="D69" s="3">
        <f t="shared" si="2"/>
        <v>0.46224961479198773</v>
      </c>
      <c r="E69" s="3">
        <f t="shared" si="3"/>
        <v>0.53775038520801222</v>
      </c>
      <c r="F69" s="3">
        <f t="shared" si="4"/>
        <v>259.59999999999997</v>
      </c>
      <c r="G69" s="30">
        <f t="shared" si="5"/>
        <v>0.71138029275808934</v>
      </c>
    </row>
    <row r="70" spans="1:7" x14ac:dyDescent="0.25">
      <c r="A70" s="10">
        <v>0.9</v>
      </c>
      <c r="B70" s="29">
        <f t="shared" si="0"/>
        <v>135</v>
      </c>
      <c r="C70" s="30">
        <f t="shared" si="1"/>
        <v>69.799999999999983</v>
      </c>
      <c r="D70" s="3">
        <f t="shared" si="2"/>
        <v>0.6591796875</v>
      </c>
      <c r="E70" s="3">
        <f t="shared" si="3"/>
        <v>0.34082031249999994</v>
      </c>
      <c r="F70" s="3">
        <f t="shared" si="4"/>
        <v>204.79999999999998</v>
      </c>
      <c r="G70" s="30">
        <f t="shared" si="5"/>
        <v>0.71380450195312495</v>
      </c>
    </row>
    <row r="71" spans="1:7" x14ac:dyDescent="0.25">
      <c r="A71" s="10">
        <v>1</v>
      </c>
      <c r="B71" s="21">
        <f t="shared" si="0"/>
        <v>150</v>
      </c>
      <c r="C71" s="19">
        <f t="shared" si="1"/>
        <v>0</v>
      </c>
      <c r="D71" s="3">
        <f t="shared" si="2"/>
        <v>1</v>
      </c>
      <c r="E71" s="3">
        <f t="shared" si="3"/>
        <v>0</v>
      </c>
      <c r="F71" s="3">
        <f t="shared" si="4"/>
        <v>150</v>
      </c>
      <c r="G71" s="30">
        <f t="shared" si="5"/>
        <v>0.71799999999999997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1</vt:lpstr>
      <vt:lpstr>Question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Neave</dc:creator>
  <cp:lastModifiedBy>David Neave</cp:lastModifiedBy>
  <dcterms:created xsi:type="dcterms:W3CDTF">2020-08-18T12:32:57Z</dcterms:created>
  <dcterms:modified xsi:type="dcterms:W3CDTF">2023-09-12T11:09:45Z</dcterms:modified>
</cp:coreProperties>
</file>