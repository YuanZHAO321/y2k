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 Neave\Dropbox\Teaching UG\UG\EART2\EART26201 2022 Principles of Geochemistry\EART26201_2022_Week1_The geochemist's periodic table\practical\"/>
    </mc:Choice>
  </mc:AlternateContent>
  <xr:revisionPtr revIDLastSave="0" documentId="13_ncr:1_{8608BEED-E281-4812-ADC6-97D7215664BB}" xr6:coauthVersionLast="47" xr6:coauthVersionMax="47" xr10:uidLastSave="{00000000-0000-0000-0000-000000000000}"/>
  <bookViews>
    <workbookView xWindow="5760" yWindow="3396" windowWidth="17280" windowHeight="8964" xr2:uid="{4774FF00-47EF-4EEC-B5D4-87BBE404D0A1}"/>
  </bookViews>
  <sheets>
    <sheet name="Question 1" sheetId="5" r:id="rId1"/>
    <sheet name="Question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53" i="5" l="1"/>
  <c r="L50" i="5"/>
  <c r="M50" i="5"/>
  <c r="L51" i="5"/>
  <c r="M51" i="5"/>
  <c r="L52" i="5"/>
  <c r="M52" i="5"/>
  <c r="M53" i="5"/>
  <c r="M49" i="5"/>
  <c r="L49" i="5"/>
  <c r="B39" i="5"/>
  <c r="B38" i="5"/>
  <c r="B32" i="5"/>
  <c r="B31" i="5"/>
  <c r="K50" i="5"/>
  <c r="K51" i="5"/>
  <c r="K52" i="5"/>
  <c r="K53" i="5"/>
  <c r="K49" i="5"/>
  <c r="B40" i="5"/>
  <c r="B27" i="5"/>
  <c r="B33" i="5"/>
  <c r="B34" i="5" l="1"/>
  <c r="B41" i="5" s="1"/>
  <c r="L3" i="2"/>
  <c r="L4" i="2"/>
  <c r="L6" i="2"/>
  <c r="L7" i="2"/>
  <c r="L5" i="2"/>
  <c r="L8" i="2"/>
  <c r="L9" i="2"/>
  <c r="L10" i="2"/>
  <c r="L11" i="2"/>
  <c r="L12" i="2"/>
  <c r="L13" i="2"/>
  <c r="L14" i="2"/>
  <c r="L15" i="2"/>
  <c r="L2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2" i="2"/>
</calcChain>
</file>

<file path=xl/sharedStrings.xml><?xml version="1.0" encoding="utf-8"?>
<sst xmlns="http://schemas.openxmlformats.org/spreadsheetml/2006/main" count="77" uniqueCount="75">
  <si>
    <t>Ba</t>
  </si>
  <si>
    <t>Rb</t>
  </si>
  <si>
    <t>Th</t>
  </si>
  <si>
    <t>K</t>
  </si>
  <si>
    <t>Ta</t>
  </si>
  <si>
    <t>Nb</t>
  </si>
  <si>
    <t>La</t>
  </si>
  <si>
    <t>Ce</t>
  </si>
  <si>
    <t>Sr</t>
  </si>
  <si>
    <t>Hf</t>
  </si>
  <si>
    <t>Zr</t>
  </si>
  <si>
    <t>Eu</t>
  </si>
  <si>
    <t>Yb</t>
  </si>
  <si>
    <t>Y</t>
  </si>
  <si>
    <t>Palme &amp; Jones (2005)</t>
  </si>
  <si>
    <t>Oceanic Crust</t>
  </si>
  <si>
    <t>White &amp; Klein (2013)</t>
  </si>
  <si>
    <t>Continental Crust</t>
  </si>
  <si>
    <t>Rudnick &amp; Gao (2003)</t>
  </si>
  <si>
    <t>Depleted Mantle</t>
  </si>
  <si>
    <t>Salters &amp; Stracke (2004)</t>
  </si>
  <si>
    <t>Mid-Ocean Ridge Basalt</t>
  </si>
  <si>
    <t>McDonough &amp; Sun (1995)</t>
  </si>
  <si>
    <t>µg/g</t>
  </si>
  <si>
    <t>CI chondrite</t>
  </si>
  <si>
    <t>Bulk Silicate Earth</t>
  </si>
  <si>
    <t>Mid-Ocean Ridge Basalt/Depleted Mantle</t>
  </si>
  <si>
    <t>Arc Magma/Depleted Mantle</t>
  </si>
  <si>
    <t>Arc Basalt</t>
  </si>
  <si>
    <t>Continental Crust/Depleted Mantle</t>
  </si>
  <si>
    <t>B1</t>
  </si>
  <si>
    <t>B2</t>
  </si>
  <si>
    <t>B3</t>
  </si>
  <si>
    <t>PT1</t>
  </si>
  <si>
    <t>PT2</t>
  </si>
  <si>
    <t>PT3</t>
  </si>
  <si>
    <t>PT4</t>
  </si>
  <si>
    <t>Cr</t>
  </si>
  <si>
    <r>
      <t>D</t>
    </r>
    <r>
      <rPr>
        <vertAlign val="superscript"/>
        <sz val="11"/>
        <color theme="1"/>
        <rFont val="Calibri"/>
        <family val="2"/>
        <scheme val="minor"/>
      </rPr>
      <t>ol</t>
    </r>
  </si>
  <si>
    <r>
      <t>D</t>
    </r>
    <r>
      <rPr>
        <vertAlign val="superscript"/>
        <sz val="11"/>
        <color theme="1"/>
        <rFont val="Calibri"/>
        <family val="2"/>
        <scheme val="minor"/>
      </rPr>
      <t>cpx</t>
    </r>
  </si>
  <si>
    <r>
      <t>D</t>
    </r>
    <r>
      <rPr>
        <vertAlign val="superscript"/>
        <sz val="11"/>
        <color theme="1"/>
        <rFont val="Calibri"/>
        <family val="2"/>
        <scheme val="minor"/>
      </rPr>
      <t>hbl</t>
    </r>
  </si>
  <si>
    <r>
      <t>D</t>
    </r>
    <r>
      <rPr>
        <vertAlign val="superscript"/>
        <sz val="11"/>
        <color theme="1"/>
        <rFont val="Calibri"/>
        <family val="2"/>
        <scheme val="minor"/>
      </rPr>
      <t>mgt</t>
    </r>
  </si>
  <si>
    <r>
      <t>D</t>
    </r>
    <r>
      <rPr>
        <vertAlign val="subscript"/>
        <sz val="11"/>
        <color theme="1"/>
        <rFont val="Calibri"/>
        <family val="2"/>
        <scheme val="minor"/>
      </rPr>
      <t>Cr</t>
    </r>
  </si>
  <si>
    <r>
      <t>D</t>
    </r>
    <r>
      <rPr>
        <vertAlign val="subscript"/>
        <sz val="11"/>
        <color theme="1"/>
        <rFont val="Calibri"/>
        <family val="2"/>
        <scheme val="minor"/>
      </rPr>
      <t>Rb</t>
    </r>
  </si>
  <si>
    <t>Table 2: Solid-liquid parition coefficents for the  main crystal phases in La Palma lavas</t>
  </si>
  <si>
    <t>olivine (ol)</t>
  </si>
  <si>
    <t>clinopyroxene (cpx)</t>
  </si>
  <si>
    <t>hornblende (hbl)</t>
  </si>
  <si>
    <t>magnetite (mgt)</t>
  </si>
  <si>
    <t xml:space="preserve">      =</t>
  </si>
  <si>
    <t>D =</t>
  </si>
  <si>
    <t>F =</t>
  </si>
  <si>
    <t xml:space="preserve">       =</t>
  </si>
  <si>
    <t>Cl = C0F^(D-1)</t>
  </si>
  <si>
    <r>
      <t>C</t>
    </r>
    <r>
      <rPr>
        <vertAlign val="subscript"/>
        <sz val="11"/>
        <color rgb="FFFF0000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 xml:space="preserve"> =</t>
    </r>
  </si>
  <si>
    <r>
      <t>C</t>
    </r>
    <r>
      <rPr>
        <vertAlign val="subscript"/>
        <sz val="11"/>
        <color rgb="FFFF0000"/>
        <rFont val="Calibri"/>
        <family val="2"/>
        <scheme val="minor"/>
      </rPr>
      <t>l</t>
    </r>
    <r>
      <rPr>
        <sz val="11"/>
        <color rgb="FFFF0000"/>
        <rFont val="Calibri"/>
        <family val="2"/>
        <scheme val="minor"/>
      </rPr>
      <t xml:space="preserve"> =</t>
    </r>
  </si>
  <si>
    <r>
      <t>F = (C</t>
    </r>
    <r>
      <rPr>
        <vertAlign val="subscript"/>
        <sz val="11"/>
        <color rgb="FFFF0000"/>
        <rFont val="Calibri"/>
        <family val="2"/>
        <scheme val="minor"/>
      </rPr>
      <t>l</t>
    </r>
    <r>
      <rPr>
        <sz val="11"/>
        <color rgb="FFFF0000"/>
        <rFont val="Calibri"/>
        <family val="2"/>
        <scheme val="minor"/>
      </rPr>
      <t>/C</t>
    </r>
    <r>
      <rPr>
        <vertAlign val="subscript"/>
        <sz val="11"/>
        <color rgb="FFFF0000"/>
        <rFont val="Calibri"/>
        <family val="2"/>
        <scheme val="minor"/>
      </rPr>
      <t>0</t>
    </r>
    <r>
      <rPr>
        <sz val="11"/>
        <color rgb="FFFF0000"/>
        <rFont val="Calibri"/>
        <family val="2"/>
        <scheme val="minor"/>
      </rPr>
      <t>)^(1/(D-1))</t>
    </r>
  </si>
  <si>
    <t>value in PT4</t>
  </si>
  <si>
    <r>
      <t>C</t>
    </r>
    <r>
      <rPr>
        <vertAlign val="subscript"/>
        <sz val="11"/>
        <color rgb="FFFF0000"/>
        <rFont val="Calibri"/>
        <family val="2"/>
        <scheme val="minor"/>
      </rPr>
      <t>I</t>
    </r>
    <r>
      <rPr>
        <sz val="11"/>
        <color rgb="FFFF0000"/>
        <rFont val="Calibri"/>
        <family val="2"/>
        <scheme val="minor"/>
      </rPr>
      <t xml:space="preserve"> =</t>
    </r>
  </si>
  <si>
    <r>
      <t>C</t>
    </r>
    <r>
      <rPr>
        <vertAlign val="subscript"/>
        <sz val="11"/>
        <color rgb="FFFF0000"/>
        <rFont val="Calibri"/>
        <family val="2"/>
        <scheme val="minor"/>
      </rPr>
      <t>I</t>
    </r>
    <r>
      <rPr>
        <sz val="11"/>
        <color rgb="FFFF0000"/>
        <rFont val="Calibri"/>
        <family val="2"/>
        <scheme val="minor"/>
      </rPr>
      <t xml:space="preserve"> est =</t>
    </r>
  </si>
  <si>
    <t>Proportions</t>
  </si>
  <si>
    <t>Phonoteprite</t>
  </si>
  <si>
    <t>Mixing calculations</t>
  </si>
  <si>
    <t>Basantite</t>
  </si>
  <si>
    <t>Concentrations</t>
  </si>
  <si>
    <t>Table 1: Trace element analyses of lavas from La Palma, Canary Islands</t>
  </si>
  <si>
    <t>value in PT3</t>
  </si>
  <si>
    <t>Cr (µg/g)</t>
  </si>
  <si>
    <t>Rb (µg/g)</t>
  </si>
  <si>
    <t>Sample</t>
  </si>
  <si>
    <t>Crystal proportions</t>
  </si>
  <si>
    <t>a) Determining DCr</t>
  </si>
  <si>
    <t>d) Determining F from [Cr]</t>
  </si>
  <si>
    <r>
      <t>e) Determining DRb and then estimating [Rb]</t>
    </r>
    <r>
      <rPr>
        <b/>
        <vertAlign val="subscript"/>
        <sz val="11"/>
        <rFont val="Calibri"/>
        <family val="2"/>
        <scheme val="minor"/>
      </rPr>
      <t>l</t>
    </r>
  </si>
  <si>
    <t>f) and g) Fractional crystallisation and magma mixing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</si>
</sst>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vertAlign val="subscript"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vertAlign val="subscript"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">
    <xf numFmtId="0" fontId="0" fillId="0" borderId="0" xfId="0"/>
    <xf numFmtId="0" fontId="0" fillId="0" borderId="0" xfId="1" applyNumberFormat="1" applyFont="1"/>
    <xf numFmtId="0" fontId="0" fillId="0" borderId="0" xfId="0" applyAlignment="1">
      <alignment vertical="center" wrapText="1"/>
    </xf>
    <xf numFmtId="2" fontId="0" fillId="0" borderId="0" xfId="1" applyNumberFormat="1" applyFont="1"/>
    <xf numFmtId="2" fontId="0" fillId="0" borderId="0" xfId="0" applyNumberFormat="1"/>
    <xf numFmtId="2" fontId="0" fillId="0" borderId="0" xfId="0" applyNumberFormat="1" applyAlignment="1">
      <alignment vertical="center" wrapText="1"/>
    </xf>
    <xf numFmtId="2" fontId="2" fillId="0" borderId="0" xfId="0" applyNumberFormat="1" applyFont="1"/>
    <xf numFmtId="0" fontId="3" fillId="0" borderId="0" xfId="0" applyFont="1"/>
    <xf numFmtId="0" fontId="0" fillId="0" borderId="1" xfId="0" applyFont="1" applyBorder="1"/>
    <xf numFmtId="0" fontId="0" fillId="0" borderId="0" xfId="0" applyFont="1"/>
    <xf numFmtId="0" fontId="0" fillId="0" borderId="0" xfId="0" applyFont="1" applyFill="1" applyBorder="1"/>
    <xf numFmtId="0" fontId="0" fillId="0" borderId="0" xfId="0" applyFont="1" applyBorder="1"/>
    <xf numFmtId="0" fontId="3" fillId="0" borderId="1" xfId="0" applyFont="1" applyBorder="1"/>
    <xf numFmtId="0" fontId="0" fillId="0" borderId="4" xfId="0" applyFont="1" applyBorder="1"/>
    <xf numFmtId="0" fontId="3" fillId="0" borderId="0" xfId="0" applyFont="1" applyBorder="1"/>
    <xf numFmtId="0" fontId="3" fillId="0" borderId="1" xfId="0" applyFont="1" applyFill="1" applyBorder="1"/>
    <xf numFmtId="0" fontId="2" fillId="0" borderId="0" xfId="0" applyFont="1"/>
    <xf numFmtId="0" fontId="2" fillId="0" borderId="0" xfId="0" applyFont="1" applyAlignment="1">
      <alignment horizontal="left"/>
    </xf>
    <xf numFmtId="0" fontId="6" fillId="0" borderId="0" xfId="0" applyFont="1"/>
    <xf numFmtId="0" fontId="6" fillId="0" borderId="0" xfId="0" applyFont="1" applyBorder="1"/>
    <xf numFmtId="0" fontId="8" fillId="0" borderId="1" xfId="0" applyFont="1" applyBorder="1"/>
    <xf numFmtId="0" fontId="6" fillId="0" borderId="1" xfId="0" applyFont="1" applyBorder="1"/>
    <xf numFmtId="164" fontId="2" fillId="0" borderId="0" xfId="0" applyNumberFormat="1" applyFont="1"/>
    <xf numFmtId="2" fontId="0" fillId="0" borderId="1" xfId="1" applyNumberFormat="1" applyFont="1" applyBorder="1"/>
    <xf numFmtId="2" fontId="2" fillId="0" borderId="1" xfId="1" applyNumberFormat="1" applyFont="1" applyBorder="1"/>
    <xf numFmtId="0" fontId="0" fillId="0" borderId="3" xfId="0" applyFont="1" applyBorder="1"/>
    <xf numFmtId="0" fontId="0" fillId="0" borderId="2" xfId="0" applyFont="1" applyBorder="1"/>
    <xf numFmtId="0" fontId="0" fillId="0" borderId="3" xfId="0" applyBorder="1"/>
    <xf numFmtId="0" fontId="0" fillId="0" borderId="2" xfId="1" applyNumberFormat="1" applyFont="1" applyBorder="1"/>
    <xf numFmtId="0" fontId="2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Samples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'Question 1'!$B$4:$B$10</c:f>
              <c:numCache>
                <c:formatCode>General</c:formatCode>
                <c:ptCount val="7"/>
                <c:pt idx="0">
                  <c:v>767</c:v>
                </c:pt>
                <c:pt idx="1">
                  <c:v>377</c:v>
                </c:pt>
                <c:pt idx="2">
                  <c:v>328</c:v>
                </c:pt>
                <c:pt idx="3">
                  <c:v>127</c:v>
                </c:pt>
                <c:pt idx="4">
                  <c:v>115</c:v>
                </c:pt>
                <c:pt idx="5">
                  <c:v>60</c:v>
                </c:pt>
                <c:pt idx="6">
                  <c:v>39</c:v>
                </c:pt>
              </c:numCache>
            </c:numRef>
          </c:xVal>
          <c:yVal>
            <c:numRef>
              <c:f>'Question 1'!$C$4:$C$10</c:f>
              <c:numCache>
                <c:formatCode>General</c:formatCode>
                <c:ptCount val="7"/>
                <c:pt idx="0">
                  <c:v>38</c:v>
                </c:pt>
                <c:pt idx="1">
                  <c:v>33</c:v>
                </c:pt>
                <c:pt idx="2">
                  <c:v>30</c:v>
                </c:pt>
                <c:pt idx="3">
                  <c:v>58</c:v>
                </c:pt>
                <c:pt idx="4">
                  <c:v>70</c:v>
                </c:pt>
                <c:pt idx="5">
                  <c:v>103</c:v>
                </c:pt>
                <c:pt idx="6">
                  <c:v>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1FE-4724-B3E1-3EF4E781A164}"/>
            </c:ext>
          </c:extLst>
        </c:ser>
        <c:ser>
          <c:idx val="1"/>
          <c:order val="1"/>
          <c:tx>
            <c:v>Mixing calculations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'Question 1'!$L$49:$L$53</c:f>
              <c:numCache>
                <c:formatCode>General</c:formatCode>
                <c:ptCount val="5"/>
                <c:pt idx="0">
                  <c:v>767</c:v>
                </c:pt>
                <c:pt idx="1">
                  <c:v>590.25</c:v>
                </c:pt>
                <c:pt idx="2">
                  <c:v>413.5</c:v>
                </c:pt>
                <c:pt idx="3">
                  <c:v>236.75</c:v>
                </c:pt>
                <c:pt idx="4">
                  <c:v>60</c:v>
                </c:pt>
              </c:numCache>
            </c:numRef>
          </c:xVal>
          <c:yVal>
            <c:numRef>
              <c:f>'Question 1'!$M$49:$M$53</c:f>
              <c:numCache>
                <c:formatCode>General</c:formatCode>
                <c:ptCount val="5"/>
                <c:pt idx="0">
                  <c:v>38</c:v>
                </c:pt>
                <c:pt idx="1">
                  <c:v>54.25</c:v>
                </c:pt>
                <c:pt idx="2">
                  <c:v>70.5</c:v>
                </c:pt>
                <c:pt idx="3">
                  <c:v>86.75</c:v>
                </c:pt>
                <c:pt idx="4">
                  <c:v>103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1FE-4724-B3E1-3EF4E781A1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2348112"/>
        <c:axId val="502349752"/>
      </c:scatterChart>
      <c:valAx>
        <c:axId val="5023481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[Cr] (µg/g)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349752"/>
        <c:crosses val="autoZero"/>
        <c:crossBetween val="midCat"/>
      </c:valAx>
      <c:valAx>
        <c:axId val="502349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[Rb] (µg/g)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23481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'Question 2'!$G$1</c:f>
              <c:strCache>
                <c:ptCount val="1"/>
                <c:pt idx="0">
                  <c:v>Mid-Ocean Ridge Basalt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'Question 2'!$A$2:$A$15</c:f>
              <c:strCache>
                <c:ptCount val="14"/>
                <c:pt idx="0">
                  <c:v>Rb</c:v>
                </c:pt>
                <c:pt idx="1">
                  <c:v>Ba</c:v>
                </c:pt>
                <c:pt idx="2">
                  <c:v>Th</c:v>
                </c:pt>
                <c:pt idx="3">
                  <c:v>K</c:v>
                </c:pt>
                <c:pt idx="4">
                  <c:v>Ta</c:v>
                </c:pt>
                <c:pt idx="5">
                  <c:v>Nb</c:v>
                </c:pt>
                <c:pt idx="6">
                  <c:v>La</c:v>
                </c:pt>
                <c:pt idx="7">
                  <c:v>Ce</c:v>
                </c:pt>
                <c:pt idx="8">
                  <c:v>Sr</c:v>
                </c:pt>
                <c:pt idx="9">
                  <c:v>Hf</c:v>
                </c:pt>
                <c:pt idx="10">
                  <c:v>Zr</c:v>
                </c:pt>
                <c:pt idx="11">
                  <c:v>Eu</c:v>
                </c:pt>
                <c:pt idx="12">
                  <c:v>Yb</c:v>
                </c:pt>
                <c:pt idx="13">
                  <c:v>Y</c:v>
                </c:pt>
              </c:strCache>
            </c:strRef>
          </c:cat>
          <c:val>
            <c:numRef>
              <c:f>'Question 2'!$G$2:$G$15</c:f>
              <c:numCache>
                <c:formatCode>0.00</c:formatCode>
                <c:ptCount val="14"/>
                <c:pt idx="0">
                  <c:v>0.56000000000000005</c:v>
                </c:pt>
                <c:pt idx="1">
                  <c:v>6.3</c:v>
                </c:pt>
                <c:pt idx="2">
                  <c:v>0.12</c:v>
                </c:pt>
                <c:pt idx="3">
                  <c:v>600</c:v>
                </c:pt>
                <c:pt idx="4">
                  <c:v>0.13200000000000001</c:v>
                </c:pt>
                <c:pt idx="5">
                  <c:v>2.33</c:v>
                </c:pt>
                <c:pt idx="6">
                  <c:v>2.5</c:v>
                </c:pt>
                <c:pt idx="7">
                  <c:v>7.5</c:v>
                </c:pt>
                <c:pt idx="8">
                  <c:v>90</c:v>
                </c:pt>
                <c:pt idx="9">
                  <c:v>2.0499999999999998</c:v>
                </c:pt>
                <c:pt idx="10">
                  <c:v>74</c:v>
                </c:pt>
                <c:pt idx="11">
                  <c:v>1.02</c:v>
                </c:pt>
                <c:pt idx="12">
                  <c:v>3.05</c:v>
                </c:pt>
                <c:pt idx="13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6A-4D17-89ED-5F8116AAE909}"/>
            </c:ext>
          </c:extLst>
        </c:ser>
        <c:ser>
          <c:idx val="1"/>
          <c:order val="1"/>
          <c:tx>
            <c:strRef>
              <c:f>'Question 2'!$H$1</c:f>
              <c:strCache>
                <c:ptCount val="1"/>
                <c:pt idx="0">
                  <c:v>Arc Basalt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'Question 2'!$H$2:$H$15</c:f>
              <c:numCache>
                <c:formatCode>0.00</c:formatCode>
                <c:ptCount val="14"/>
                <c:pt idx="0">
                  <c:v>7.5</c:v>
                </c:pt>
                <c:pt idx="1">
                  <c:v>158</c:v>
                </c:pt>
                <c:pt idx="2">
                  <c:v>0.64</c:v>
                </c:pt>
                <c:pt idx="3">
                  <c:v>3668</c:v>
                </c:pt>
                <c:pt idx="4">
                  <c:v>0.15</c:v>
                </c:pt>
                <c:pt idx="5">
                  <c:v>1.78</c:v>
                </c:pt>
                <c:pt idx="6">
                  <c:v>4.3899999999999997</c:v>
                </c:pt>
                <c:pt idx="7">
                  <c:v>10.41</c:v>
                </c:pt>
                <c:pt idx="8">
                  <c:v>361</c:v>
                </c:pt>
                <c:pt idx="9">
                  <c:v>1.21</c:v>
                </c:pt>
                <c:pt idx="10">
                  <c:v>46.8</c:v>
                </c:pt>
                <c:pt idx="11">
                  <c:v>0.74</c:v>
                </c:pt>
                <c:pt idx="12">
                  <c:v>1.42</c:v>
                </c:pt>
                <c:pt idx="13">
                  <c:v>13.1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6A-4D17-89ED-5F8116AAE909}"/>
            </c:ext>
          </c:extLst>
        </c:ser>
        <c:ser>
          <c:idx val="2"/>
          <c:order val="2"/>
          <c:tx>
            <c:strRef>
              <c:f>'Question 2'!$F$1</c:f>
              <c:strCache>
                <c:ptCount val="1"/>
                <c:pt idx="0">
                  <c:v>Depleted Mantle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'Question 2'!$F$2:$F$15</c:f>
              <c:numCache>
                <c:formatCode>0.00</c:formatCode>
                <c:ptCount val="14"/>
                <c:pt idx="0">
                  <c:v>8.7999999999999995E-2</c:v>
                </c:pt>
                <c:pt idx="1">
                  <c:v>1.2</c:v>
                </c:pt>
                <c:pt idx="2">
                  <c:v>1.37E-2</c:v>
                </c:pt>
                <c:pt idx="3">
                  <c:v>60</c:v>
                </c:pt>
                <c:pt idx="4">
                  <c:v>1.38E-2</c:v>
                </c:pt>
                <c:pt idx="5">
                  <c:v>0.21</c:v>
                </c:pt>
                <c:pt idx="6">
                  <c:v>0.23400000000000001</c:v>
                </c:pt>
                <c:pt idx="7">
                  <c:v>0.77200000000000002</c:v>
                </c:pt>
                <c:pt idx="8">
                  <c:v>9.8000000000000007</c:v>
                </c:pt>
                <c:pt idx="9">
                  <c:v>0.19900000000000001</c:v>
                </c:pt>
                <c:pt idx="10">
                  <c:v>7.94</c:v>
                </c:pt>
                <c:pt idx="11">
                  <c:v>0.107</c:v>
                </c:pt>
                <c:pt idx="12">
                  <c:v>0.40100000000000002</c:v>
                </c:pt>
                <c:pt idx="13">
                  <c:v>4.07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D6A-4D17-89ED-5F8116AAE9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5245880"/>
        <c:axId val="475252768"/>
      </c:lineChart>
      <c:catAx>
        <c:axId val="4752458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Element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252768"/>
        <c:crossesAt val="1.0000000000000002E-2"/>
        <c:auto val="1"/>
        <c:lblAlgn val="ctr"/>
        <c:lblOffset val="100"/>
        <c:noMultiLvlLbl val="0"/>
      </c:catAx>
      <c:valAx>
        <c:axId val="47525276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 Concentration (µg/g)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245880"/>
        <c:crossesAt val="1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'Question 2'!$J$1</c:f>
              <c:strCache>
                <c:ptCount val="1"/>
                <c:pt idx="0">
                  <c:v>Mid-Ocean Ridge Basalt/Depleted Mantle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'Question 2'!$A$2:$A$15</c:f>
              <c:strCache>
                <c:ptCount val="14"/>
                <c:pt idx="0">
                  <c:v>Rb</c:v>
                </c:pt>
                <c:pt idx="1">
                  <c:v>Ba</c:v>
                </c:pt>
                <c:pt idx="2">
                  <c:v>Th</c:v>
                </c:pt>
                <c:pt idx="3">
                  <c:v>K</c:v>
                </c:pt>
                <c:pt idx="4">
                  <c:v>Ta</c:v>
                </c:pt>
                <c:pt idx="5">
                  <c:v>Nb</c:v>
                </c:pt>
                <c:pt idx="6">
                  <c:v>La</c:v>
                </c:pt>
                <c:pt idx="7">
                  <c:v>Ce</c:v>
                </c:pt>
                <c:pt idx="8">
                  <c:v>Sr</c:v>
                </c:pt>
                <c:pt idx="9">
                  <c:v>Hf</c:v>
                </c:pt>
                <c:pt idx="10">
                  <c:v>Zr</c:v>
                </c:pt>
                <c:pt idx="11">
                  <c:v>Eu</c:v>
                </c:pt>
                <c:pt idx="12">
                  <c:v>Yb</c:v>
                </c:pt>
                <c:pt idx="13">
                  <c:v>Y</c:v>
                </c:pt>
              </c:strCache>
            </c:strRef>
          </c:cat>
          <c:val>
            <c:numRef>
              <c:f>'Question 2'!$J$2:$J$15</c:f>
              <c:numCache>
                <c:formatCode>0.00</c:formatCode>
                <c:ptCount val="14"/>
                <c:pt idx="0">
                  <c:v>6.3636363636363642</c:v>
                </c:pt>
                <c:pt idx="1">
                  <c:v>5.25</c:v>
                </c:pt>
                <c:pt idx="2">
                  <c:v>8.7591240875912408</c:v>
                </c:pt>
                <c:pt idx="3">
                  <c:v>10</c:v>
                </c:pt>
                <c:pt idx="4">
                  <c:v>9.5652173913043477</c:v>
                </c:pt>
                <c:pt idx="5">
                  <c:v>11.095238095238097</c:v>
                </c:pt>
                <c:pt idx="6">
                  <c:v>10.683760683760683</c:v>
                </c:pt>
                <c:pt idx="7">
                  <c:v>9.7150259067357503</c:v>
                </c:pt>
                <c:pt idx="8">
                  <c:v>9.1836734693877542</c:v>
                </c:pt>
                <c:pt idx="9">
                  <c:v>10.30150753768844</c:v>
                </c:pt>
                <c:pt idx="10">
                  <c:v>9.3198992443324933</c:v>
                </c:pt>
                <c:pt idx="11">
                  <c:v>9.5327102803738324</c:v>
                </c:pt>
                <c:pt idx="12">
                  <c:v>7.6059850374064828</c:v>
                </c:pt>
                <c:pt idx="13">
                  <c:v>6.8796068796068788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27-4269-B27E-2D8219ED79DE}"/>
            </c:ext>
          </c:extLst>
        </c:ser>
        <c:ser>
          <c:idx val="1"/>
          <c:order val="1"/>
          <c:tx>
            <c:strRef>
              <c:f>'Question 2'!$K$1</c:f>
              <c:strCache>
                <c:ptCount val="1"/>
                <c:pt idx="0">
                  <c:v>Arc Magma/Depleted Mantle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'Question 2'!$A$2:$A$15</c:f>
              <c:strCache>
                <c:ptCount val="14"/>
                <c:pt idx="0">
                  <c:v>Rb</c:v>
                </c:pt>
                <c:pt idx="1">
                  <c:v>Ba</c:v>
                </c:pt>
                <c:pt idx="2">
                  <c:v>Th</c:v>
                </c:pt>
                <c:pt idx="3">
                  <c:v>K</c:v>
                </c:pt>
                <c:pt idx="4">
                  <c:v>Ta</c:v>
                </c:pt>
                <c:pt idx="5">
                  <c:v>Nb</c:v>
                </c:pt>
                <c:pt idx="6">
                  <c:v>La</c:v>
                </c:pt>
                <c:pt idx="7">
                  <c:v>Ce</c:v>
                </c:pt>
                <c:pt idx="8">
                  <c:v>Sr</c:v>
                </c:pt>
                <c:pt idx="9">
                  <c:v>Hf</c:v>
                </c:pt>
                <c:pt idx="10">
                  <c:v>Zr</c:v>
                </c:pt>
                <c:pt idx="11">
                  <c:v>Eu</c:v>
                </c:pt>
                <c:pt idx="12">
                  <c:v>Yb</c:v>
                </c:pt>
                <c:pt idx="13">
                  <c:v>Y</c:v>
                </c:pt>
              </c:strCache>
            </c:strRef>
          </c:cat>
          <c:val>
            <c:numRef>
              <c:f>'Question 2'!$K$2:$K$15</c:f>
              <c:numCache>
                <c:formatCode>0.00</c:formatCode>
                <c:ptCount val="14"/>
                <c:pt idx="0">
                  <c:v>85.227272727272734</c:v>
                </c:pt>
                <c:pt idx="1">
                  <c:v>131.66666666666669</c:v>
                </c:pt>
                <c:pt idx="2">
                  <c:v>46.715328467153284</c:v>
                </c:pt>
                <c:pt idx="3">
                  <c:v>61.133333333333333</c:v>
                </c:pt>
                <c:pt idx="4">
                  <c:v>10.869565217391305</c:v>
                </c:pt>
                <c:pt idx="5">
                  <c:v>8.4761904761904763</c:v>
                </c:pt>
                <c:pt idx="6">
                  <c:v>18.760683760683758</c:v>
                </c:pt>
                <c:pt idx="7">
                  <c:v>13.484455958549223</c:v>
                </c:pt>
                <c:pt idx="8">
                  <c:v>36.836734693877546</c:v>
                </c:pt>
                <c:pt idx="9">
                  <c:v>6.0804020100502507</c:v>
                </c:pt>
                <c:pt idx="10">
                  <c:v>5.8942065491183868</c:v>
                </c:pt>
                <c:pt idx="11">
                  <c:v>6.91588785046729</c:v>
                </c:pt>
                <c:pt idx="12">
                  <c:v>3.5411471321695758</c:v>
                </c:pt>
                <c:pt idx="13">
                  <c:v>3.2186732186732185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27-4269-B27E-2D8219ED79DE}"/>
            </c:ext>
          </c:extLst>
        </c:ser>
        <c:ser>
          <c:idx val="2"/>
          <c:order val="2"/>
          <c:tx>
            <c:strRef>
              <c:f>'Question 2'!$L$1</c:f>
              <c:strCache>
                <c:ptCount val="1"/>
                <c:pt idx="0">
                  <c:v>Continental Crust/Depleted Mantle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'Question 2'!$A$2:$A$15</c:f>
              <c:strCache>
                <c:ptCount val="14"/>
                <c:pt idx="0">
                  <c:v>Rb</c:v>
                </c:pt>
                <c:pt idx="1">
                  <c:v>Ba</c:v>
                </c:pt>
                <c:pt idx="2">
                  <c:v>Th</c:v>
                </c:pt>
                <c:pt idx="3">
                  <c:v>K</c:v>
                </c:pt>
                <c:pt idx="4">
                  <c:v>Ta</c:v>
                </c:pt>
                <c:pt idx="5">
                  <c:v>Nb</c:v>
                </c:pt>
                <c:pt idx="6">
                  <c:v>La</c:v>
                </c:pt>
                <c:pt idx="7">
                  <c:v>Ce</c:v>
                </c:pt>
                <c:pt idx="8">
                  <c:v>Sr</c:v>
                </c:pt>
                <c:pt idx="9">
                  <c:v>Hf</c:v>
                </c:pt>
                <c:pt idx="10">
                  <c:v>Zr</c:v>
                </c:pt>
                <c:pt idx="11">
                  <c:v>Eu</c:v>
                </c:pt>
                <c:pt idx="12">
                  <c:v>Yb</c:v>
                </c:pt>
                <c:pt idx="13">
                  <c:v>Y</c:v>
                </c:pt>
              </c:strCache>
            </c:strRef>
          </c:cat>
          <c:val>
            <c:numRef>
              <c:f>'Question 2'!$L$2:$L$15</c:f>
              <c:numCache>
                <c:formatCode>0.00</c:formatCode>
                <c:ptCount val="14"/>
                <c:pt idx="0">
                  <c:v>556.81818181818187</c:v>
                </c:pt>
                <c:pt idx="1">
                  <c:v>380</c:v>
                </c:pt>
                <c:pt idx="2">
                  <c:v>408.7591240875912</c:v>
                </c:pt>
                <c:pt idx="3">
                  <c:v>250.41666666666666</c:v>
                </c:pt>
                <c:pt idx="4">
                  <c:v>50.724637681159415</c:v>
                </c:pt>
                <c:pt idx="5">
                  <c:v>38.095238095238095</c:v>
                </c:pt>
                <c:pt idx="6">
                  <c:v>85.470085470085465</c:v>
                </c:pt>
                <c:pt idx="7">
                  <c:v>55.699481865284973</c:v>
                </c:pt>
                <c:pt idx="8">
                  <c:v>32.653061224489797</c:v>
                </c:pt>
                <c:pt idx="9">
                  <c:v>18.592964824120603</c:v>
                </c:pt>
                <c:pt idx="10">
                  <c:v>16.624685138539043</c:v>
                </c:pt>
                <c:pt idx="11">
                  <c:v>10.280373831775702</c:v>
                </c:pt>
                <c:pt idx="12">
                  <c:v>4.7381546134663335</c:v>
                </c:pt>
                <c:pt idx="13">
                  <c:v>4.6683046683046676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27-4269-B27E-2D8219ED79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75245880"/>
        <c:axId val="475252768"/>
      </c:lineChart>
      <c:catAx>
        <c:axId val="4752458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Element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252768"/>
        <c:crossesAt val="0.1"/>
        <c:auto val="1"/>
        <c:lblAlgn val="ctr"/>
        <c:lblOffset val="100"/>
        <c:noMultiLvlLbl val="0"/>
      </c:catAx>
      <c:valAx>
        <c:axId val="47525276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 Concentration/Depleted Mantle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5245880"/>
        <c:crossesAt val="1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892146414722393E-2"/>
          <c:y val="0.81937390031724411"/>
          <c:w val="0.93616366252340466"/>
          <c:h val="0.1522927688282791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rgbClr val="FF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26</xdr:row>
      <xdr:rowOff>0</xdr:rowOff>
    </xdr:from>
    <xdr:to>
      <xdr:col>0</xdr:col>
      <xdr:colOff>205740</xdr:colOff>
      <xdr:row>27</xdr:row>
      <xdr:rowOff>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69A8D904-17E9-4C28-B153-E289898E82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93820"/>
          <a:ext cx="20574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228600</xdr:colOff>
      <xdr:row>40</xdr:row>
      <xdr:rowOff>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2EAB436F-BB77-4839-AD5B-0C56B06E5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905500"/>
          <a:ext cx="228600" cy="1828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30480</xdr:colOff>
      <xdr:row>44</xdr:row>
      <xdr:rowOff>11430</xdr:rowOff>
    </xdr:from>
    <xdr:to>
      <xdr:col>7</xdr:col>
      <xdr:colOff>335280</xdr:colOff>
      <xdr:row>59</xdr:row>
      <xdr:rowOff>11430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A3829600-6F57-4960-A845-5874394317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0.20255</cdr:x>
      <cdr:y>0.18916</cdr:y>
    </cdr:from>
    <cdr:to>
      <cdr:x>0.79304</cdr:x>
      <cdr:y>0.56965</cdr:y>
    </cdr:to>
    <cdr:sp macro="" textlink="">
      <cdr:nvSpPr>
        <cdr:cNvPr id="18" name="Freeform: Shape 17">
          <a:extLst xmlns:a="http://schemas.openxmlformats.org/drawingml/2006/main">
            <a:ext uri="{FF2B5EF4-FFF2-40B4-BE49-F238E27FC236}">
              <a16:creationId xmlns:a16="http://schemas.microsoft.com/office/drawing/2014/main" id="{84127694-8EF3-4226-9526-F749E837592A}"/>
            </a:ext>
          </a:extLst>
        </cdr:cNvPr>
        <cdr:cNvSpPr/>
      </cdr:nvSpPr>
      <cdr:spPr>
        <a:xfrm xmlns:a="http://schemas.openxmlformats.org/drawingml/2006/main">
          <a:off x="897376" y="540535"/>
          <a:ext cx="2616041" cy="1087226"/>
        </a:xfrm>
        <a:custGeom xmlns:a="http://schemas.openxmlformats.org/drawingml/2006/main">
          <a:avLst/>
          <a:gdLst>
            <a:gd name="connsiteX0" fmla="*/ 0 w 1920240"/>
            <a:gd name="connsiteY0" fmla="*/ 0 h 1066800"/>
            <a:gd name="connsiteX1" fmla="*/ 403860 w 1920240"/>
            <a:gd name="connsiteY1" fmla="*/ 762000 h 1066800"/>
            <a:gd name="connsiteX2" fmla="*/ 1920240 w 1920240"/>
            <a:gd name="connsiteY2" fmla="*/ 1066800 h 1066800"/>
            <a:gd name="connsiteX0" fmla="*/ 0 w 1920240"/>
            <a:gd name="connsiteY0" fmla="*/ 0 h 1066800"/>
            <a:gd name="connsiteX1" fmla="*/ 315153 w 1920240"/>
            <a:gd name="connsiteY1" fmla="*/ 933372 h 1066800"/>
            <a:gd name="connsiteX2" fmla="*/ 1920240 w 1920240"/>
            <a:gd name="connsiteY2" fmla="*/ 1066800 h 1066800"/>
            <a:gd name="connsiteX0" fmla="*/ 0 w 1890455"/>
            <a:gd name="connsiteY0" fmla="*/ 0 h 1041963"/>
            <a:gd name="connsiteX1" fmla="*/ 315153 w 1890455"/>
            <a:gd name="connsiteY1" fmla="*/ 933372 h 1041963"/>
            <a:gd name="connsiteX2" fmla="*/ 1890455 w 1890455"/>
            <a:gd name="connsiteY2" fmla="*/ 1041963 h 1041963"/>
            <a:gd name="connsiteX0" fmla="*/ 0 w 1890455"/>
            <a:gd name="connsiteY0" fmla="*/ 0 h 1066873"/>
            <a:gd name="connsiteX1" fmla="*/ 315153 w 1890455"/>
            <a:gd name="connsiteY1" fmla="*/ 933372 h 1066873"/>
            <a:gd name="connsiteX2" fmla="*/ 1890455 w 1890455"/>
            <a:gd name="connsiteY2" fmla="*/ 1041963 h 1066873"/>
            <a:gd name="connsiteX0" fmla="*/ 0 w 1890455"/>
            <a:gd name="connsiteY0" fmla="*/ 0 h 1056791"/>
            <a:gd name="connsiteX1" fmla="*/ 315153 w 1890455"/>
            <a:gd name="connsiteY1" fmla="*/ 933372 h 1056791"/>
            <a:gd name="connsiteX2" fmla="*/ 1890455 w 1890455"/>
            <a:gd name="connsiteY2" fmla="*/ 1041963 h 1056791"/>
            <a:gd name="connsiteX0" fmla="*/ 0 w 1877637"/>
            <a:gd name="connsiteY0" fmla="*/ 0 h 1086731"/>
            <a:gd name="connsiteX1" fmla="*/ 315153 w 1877637"/>
            <a:gd name="connsiteY1" fmla="*/ 933372 h 1086731"/>
            <a:gd name="connsiteX2" fmla="*/ 1877637 w 1877637"/>
            <a:gd name="connsiteY2" fmla="*/ 1083616 h 1086731"/>
            <a:gd name="connsiteX0" fmla="*/ 0 w 1877637"/>
            <a:gd name="connsiteY0" fmla="*/ 0 h 1086731"/>
            <a:gd name="connsiteX1" fmla="*/ 315153 w 1877637"/>
            <a:gd name="connsiteY1" fmla="*/ 933372 h 1086731"/>
            <a:gd name="connsiteX2" fmla="*/ 1877637 w 1877637"/>
            <a:gd name="connsiteY2" fmla="*/ 1083616 h 108673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</a:cxnLst>
          <a:rect l="l" t="t" r="r" b="b"/>
          <a:pathLst>
            <a:path w="1877637" h="1086731">
              <a:moveTo>
                <a:pt x="0" y="0"/>
              </a:moveTo>
              <a:cubicBezTo>
                <a:pt x="20547" y="363504"/>
                <a:pt x="-4887" y="755572"/>
                <a:pt x="315153" y="933372"/>
              </a:cubicBezTo>
              <a:cubicBezTo>
                <a:pt x="635193" y="1111172"/>
                <a:pt x="1405966" y="1087381"/>
                <a:pt x="1877637" y="1083616"/>
              </a:cubicBezTo>
            </a:path>
          </a:pathLst>
        </a:custGeom>
        <a:ln xmlns:a="http://schemas.openxmlformats.org/drawingml/2006/main" w="28575">
          <a:headEnd type="arrow" w="med" len="med"/>
          <a:tailEnd type="none" w="med" len="med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US"/>
        </a:p>
      </cdr:txBody>
    </cdr:sp>
  </cdr:relSizeAnchor>
  <cdr:relSizeAnchor xmlns:cdr="http://schemas.openxmlformats.org/drawingml/2006/chartDrawing">
    <cdr:from>
      <cdr:x>0.26461</cdr:x>
      <cdr:y>0.32917</cdr:y>
    </cdr:from>
    <cdr:to>
      <cdr:x>0.46461</cdr:x>
      <cdr:y>0.6625</cdr:y>
    </cdr:to>
    <cdr:sp macro="" textlink="">
      <cdr:nvSpPr>
        <cdr:cNvPr id="19" name="TextBox 18">
          <a:extLst xmlns:a="http://schemas.openxmlformats.org/drawingml/2006/main">
            <a:ext uri="{FF2B5EF4-FFF2-40B4-BE49-F238E27FC236}">
              <a16:creationId xmlns:a16="http://schemas.microsoft.com/office/drawing/2014/main" id="{06FA0CBF-F900-4EBA-B94C-0F2E1420DD29}"/>
            </a:ext>
          </a:extLst>
        </cdr:cNvPr>
        <cdr:cNvSpPr txBox="1"/>
      </cdr:nvSpPr>
      <cdr:spPr>
        <a:xfrm xmlns:a="http://schemas.openxmlformats.org/drawingml/2006/main">
          <a:off x="1172308" y="940593"/>
          <a:ext cx="886063" cy="95249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GB" sz="1100">
              <a:solidFill>
                <a:schemeClr val="accent1"/>
              </a:solidFill>
            </a:rPr>
            <a:t>Fractional</a:t>
          </a:r>
          <a:br>
            <a:rPr lang="en-GB" sz="1100">
              <a:solidFill>
                <a:schemeClr val="accent1"/>
              </a:solidFill>
            </a:rPr>
          </a:br>
          <a:r>
            <a:rPr lang="en-GB" sz="1100">
              <a:solidFill>
                <a:schemeClr val="accent1"/>
              </a:solidFill>
            </a:rPr>
            <a:t>cystallisation</a:t>
          </a:r>
        </a:p>
      </cdr:txBody>
    </cdr:sp>
  </cdr:relSizeAnchor>
  <cdr:relSizeAnchor xmlns:cdr="http://schemas.openxmlformats.org/drawingml/2006/chartDrawing">
    <cdr:from>
      <cdr:x>0.65278</cdr:x>
      <cdr:y>0.22685</cdr:y>
    </cdr:from>
    <cdr:to>
      <cdr:x>0.85278</cdr:x>
      <cdr:y>0.40139</cdr:y>
    </cdr:to>
    <cdr:sp macro="" textlink="">
      <cdr:nvSpPr>
        <cdr:cNvPr id="20" name="TextBox 1">
          <a:extLst xmlns:a="http://schemas.openxmlformats.org/drawingml/2006/main">
            <a:ext uri="{FF2B5EF4-FFF2-40B4-BE49-F238E27FC236}">
              <a16:creationId xmlns:a16="http://schemas.microsoft.com/office/drawing/2014/main" id="{302EC72B-1E19-4FE1-9C87-8FECD7472CAD}"/>
            </a:ext>
          </a:extLst>
        </cdr:cNvPr>
        <cdr:cNvSpPr txBox="1"/>
      </cdr:nvSpPr>
      <cdr:spPr>
        <a:xfrm xmlns:a="http://schemas.openxmlformats.org/drawingml/2006/main">
          <a:off x="2984500" y="622300"/>
          <a:ext cx="914400" cy="47879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GB" sz="1100">
              <a:solidFill>
                <a:schemeClr val="accent2"/>
              </a:solidFill>
            </a:rPr>
            <a:t>Magma mixing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4</xdr:col>
      <xdr:colOff>617220</xdr:colOff>
      <xdr:row>33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52C1D00-9B0A-4BA3-8102-47D5BC6C08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18</xdr:row>
      <xdr:rowOff>0</xdr:rowOff>
    </xdr:from>
    <xdr:to>
      <xdr:col>9</xdr:col>
      <xdr:colOff>1532965</xdr:colOff>
      <xdr:row>37</xdr:row>
      <xdr:rowOff>10886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05D3A20-CBA7-4F39-86D5-754BB76A91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BBFAA-ED18-4278-A15B-3218A0A03566}">
  <dimension ref="A1:M53"/>
  <sheetViews>
    <sheetView tabSelected="1" topLeftCell="A20" zoomScale="70" zoomScaleNormal="70" workbookViewId="0">
      <selection activeCell="H30" sqref="H30"/>
    </sheetView>
  </sheetViews>
  <sheetFormatPr defaultColWidth="8.88671875" defaultRowHeight="14.4" x14ac:dyDescent="0.3"/>
  <cols>
    <col min="1" max="1" width="8.88671875" style="18" customWidth="1"/>
    <col min="2" max="9" width="8.88671875" style="18"/>
    <col min="10" max="10" width="10.5546875" style="18" bestFit="1" customWidth="1"/>
    <col min="11" max="11" width="13.5546875" style="18" bestFit="1" customWidth="1"/>
    <col min="12" max="16384" width="8.88671875" style="18"/>
  </cols>
  <sheetData>
    <row r="1" spans="1:8" s="9" customFormat="1" x14ac:dyDescent="0.3">
      <c r="A1" s="14" t="s">
        <v>65</v>
      </c>
      <c r="B1" s="11"/>
      <c r="C1" s="11"/>
      <c r="D1" s="11"/>
      <c r="E1" s="11"/>
      <c r="F1" s="11"/>
      <c r="G1" s="11"/>
      <c r="H1" s="11"/>
    </row>
    <row r="2" spans="1:8" s="9" customFormat="1" x14ac:dyDescent="0.3">
      <c r="A2" s="13"/>
      <c r="B2" s="13"/>
      <c r="C2" s="13"/>
      <c r="D2" s="13"/>
      <c r="E2" s="13"/>
      <c r="F2" s="13"/>
      <c r="G2" s="13"/>
      <c r="H2" s="13"/>
    </row>
    <row r="3" spans="1:8" s="9" customFormat="1" x14ac:dyDescent="0.3">
      <c r="A3" s="25" t="s">
        <v>69</v>
      </c>
      <c r="B3" s="8" t="s">
        <v>67</v>
      </c>
      <c r="C3" s="8" t="s">
        <v>68</v>
      </c>
    </row>
    <row r="4" spans="1:8" s="9" customFormat="1" x14ac:dyDescent="0.3">
      <c r="A4" s="26" t="s">
        <v>30</v>
      </c>
      <c r="B4" s="11">
        <v>767</v>
      </c>
      <c r="C4" s="11">
        <v>38</v>
      </c>
    </row>
    <row r="5" spans="1:8" s="9" customFormat="1" x14ac:dyDescent="0.3">
      <c r="A5" s="26" t="s">
        <v>31</v>
      </c>
      <c r="B5" s="11">
        <v>377</v>
      </c>
      <c r="C5" s="11">
        <v>33</v>
      </c>
    </row>
    <row r="6" spans="1:8" s="9" customFormat="1" x14ac:dyDescent="0.3">
      <c r="A6" s="26" t="s">
        <v>32</v>
      </c>
      <c r="B6" s="11">
        <v>328</v>
      </c>
      <c r="C6" s="11">
        <v>30</v>
      </c>
    </row>
    <row r="7" spans="1:8" s="9" customFormat="1" x14ac:dyDescent="0.3">
      <c r="A7" s="26" t="s">
        <v>33</v>
      </c>
      <c r="B7" s="11">
        <v>127</v>
      </c>
      <c r="C7" s="11">
        <v>58</v>
      </c>
    </row>
    <row r="8" spans="1:8" s="9" customFormat="1" x14ac:dyDescent="0.3">
      <c r="A8" s="26" t="s">
        <v>34</v>
      </c>
      <c r="B8" s="11">
        <v>115</v>
      </c>
      <c r="C8" s="11">
        <v>70</v>
      </c>
    </row>
    <row r="9" spans="1:8" s="9" customFormat="1" x14ac:dyDescent="0.3">
      <c r="A9" s="26" t="s">
        <v>35</v>
      </c>
      <c r="B9" s="11">
        <v>60</v>
      </c>
      <c r="C9" s="11">
        <v>103</v>
      </c>
    </row>
    <row r="10" spans="1:8" s="9" customFormat="1" x14ac:dyDescent="0.3">
      <c r="A10" s="26" t="s">
        <v>36</v>
      </c>
      <c r="B10" s="11">
        <v>39</v>
      </c>
      <c r="C10" s="11">
        <v>69</v>
      </c>
    </row>
    <row r="11" spans="1:8" s="9" customFormat="1" x14ac:dyDescent="0.3"/>
    <row r="12" spans="1:8" s="9" customFormat="1" x14ac:dyDescent="0.3">
      <c r="A12" s="12" t="s">
        <v>70</v>
      </c>
      <c r="B12" s="8"/>
      <c r="C12" s="8"/>
      <c r="D12" s="8"/>
      <c r="E12" s="8"/>
      <c r="F12" s="8"/>
      <c r="G12" s="8"/>
      <c r="H12" s="8"/>
    </row>
    <row r="13" spans="1:8" s="9" customFormat="1" x14ac:dyDescent="0.3">
      <c r="A13" s="9" t="s">
        <v>45</v>
      </c>
      <c r="C13" s="9">
        <v>0.1</v>
      </c>
    </row>
    <row r="14" spans="1:8" s="9" customFormat="1" x14ac:dyDescent="0.3">
      <c r="A14" s="10" t="s">
        <v>46</v>
      </c>
      <c r="C14" s="9">
        <v>0.4</v>
      </c>
    </row>
    <row r="15" spans="1:8" s="9" customFormat="1" x14ac:dyDescent="0.3">
      <c r="A15" s="10" t="s">
        <v>47</v>
      </c>
      <c r="C15" s="9">
        <v>0.4</v>
      </c>
    </row>
    <row r="16" spans="1:8" s="9" customFormat="1" x14ac:dyDescent="0.3">
      <c r="A16" s="10" t="s">
        <v>48</v>
      </c>
      <c r="C16" s="9">
        <v>0.1</v>
      </c>
    </row>
    <row r="17" spans="1:8" s="9" customFormat="1" x14ac:dyDescent="0.3"/>
    <row r="18" spans="1:8" s="9" customFormat="1" x14ac:dyDescent="0.3">
      <c r="A18" s="15" t="s">
        <v>44</v>
      </c>
      <c r="B18" s="8"/>
      <c r="C18" s="8"/>
      <c r="D18" s="8"/>
      <c r="E18" s="8"/>
      <c r="F18" s="8"/>
      <c r="G18" s="8"/>
      <c r="H18" s="8"/>
    </row>
    <row r="19" spans="1:8" s="9" customFormat="1" x14ac:dyDescent="0.3">
      <c r="A19" s="10"/>
      <c r="B19" s="11"/>
      <c r="C19" s="11"/>
      <c r="D19" s="11"/>
      <c r="E19" s="11"/>
      <c r="F19" s="11"/>
      <c r="G19" s="11"/>
      <c r="H19" s="11"/>
    </row>
    <row r="20" spans="1:8" s="9" customFormat="1" ht="16.2" x14ac:dyDescent="0.3">
      <c r="A20" s="25"/>
      <c r="B20" s="8" t="s">
        <v>38</v>
      </c>
      <c r="C20" s="8" t="s">
        <v>39</v>
      </c>
      <c r="D20" s="8" t="s">
        <v>40</v>
      </c>
      <c r="E20" s="8" t="s">
        <v>41</v>
      </c>
    </row>
    <row r="21" spans="1:8" s="9" customFormat="1" ht="15.6" x14ac:dyDescent="0.35">
      <c r="A21" s="26" t="s">
        <v>42</v>
      </c>
      <c r="B21" s="9">
        <v>0.9</v>
      </c>
      <c r="C21" s="9">
        <v>8</v>
      </c>
      <c r="D21" s="9">
        <v>0.34</v>
      </c>
      <c r="E21" s="9">
        <v>15</v>
      </c>
    </row>
    <row r="22" spans="1:8" s="9" customFormat="1" ht="15.6" x14ac:dyDescent="0.35">
      <c r="A22" s="26" t="s">
        <v>43</v>
      </c>
      <c r="B22" s="9">
        <v>0</v>
      </c>
      <c r="C22" s="9">
        <v>2E-3</v>
      </c>
      <c r="D22" s="9">
        <v>0.2</v>
      </c>
      <c r="E22" s="9">
        <v>0</v>
      </c>
    </row>
    <row r="23" spans="1:8" s="9" customFormat="1" x14ac:dyDescent="0.3"/>
    <row r="24" spans="1:8" s="9" customFormat="1" x14ac:dyDescent="0.3"/>
    <row r="25" spans="1:8" s="9" customFormat="1" x14ac:dyDescent="0.3">
      <c r="A25" s="12" t="s">
        <v>71</v>
      </c>
      <c r="B25" s="8"/>
      <c r="C25" s="8"/>
    </row>
    <row r="26" spans="1:8" s="9" customFormat="1" x14ac:dyDescent="0.3">
      <c r="A26" s="7"/>
    </row>
    <row r="27" spans="1:8" s="9" customFormat="1" x14ac:dyDescent="0.3">
      <c r="A27" s="17" t="s">
        <v>49</v>
      </c>
      <c r="B27" s="16">
        <f>C13*B21+C14*C21+C15*D21+C16*E21</f>
        <v>4.9260000000000002</v>
      </c>
    </row>
    <row r="28" spans="1:8" s="9" customFormat="1" x14ac:dyDescent="0.3">
      <c r="A28" s="7"/>
    </row>
    <row r="29" spans="1:8" s="9" customFormat="1" x14ac:dyDescent="0.3">
      <c r="A29" s="12" t="s">
        <v>72</v>
      </c>
      <c r="B29" s="8"/>
      <c r="C29" s="8"/>
      <c r="D29" s="8"/>
      <c r="E29" s="8"/>
    </row>
    <row r="30" spans="1:8" s="9" customFormat="1" x14ac:dyDescent="0.3"/>
    <row r="31" spans="1:8" s="9" customFormat="1" ht="15.6" x14ac:dyDescent="0.35">
      <c r="A31" s="16" t="s">
        <v>54</v>
      </c>
      <c r="B31" s="16">
        <f>B4</f>
        <v>767</v>
      </c>
      <c r="C31" s="16"/>
      <c r="D31" s="16"/>
    </row>
    <row r="32" spans="1:8" s="9" customFormat="1" ht="15.6" x14ac:dyDescent="0.35">
      <c r="A32" s="16" t="s">
        <v>55</v>
      </c>
      <c r="B32" s="16">
        <f>B10</f>
        <v>39</v>
      </c>
      <c r="C32" s="16"/>
      <c r="D32" s="16" t="s">
        <v>66</v>
      </c>
    </row>
    <row r="33" spans="1:13" s="9" customFormat="1" x14ac:dyDescent="0.3">
      <c r="A33" s="16" t="s">
        <v>50</v>
      </c>
      <c r="B33" s="6">
        <f>B27</f>
        <v>4.9260000000000002</v>
      </c>
      <c r="C33" s="16"/>
      <c r="D33" s="16"/>
    </row>
    <row r="34" spans="1:13" s="9" customFormat="1" ht="15.6" x14ac:dyDescent="0.35">
      <c r="A34" s="16" t="s">
        <v>51</v>
      </c>
      <c r="B34" s="6">
        <f>(B32/B31)^(1/(B33-1))</f>
        <v>0.46824271009928176</v>
      </c>
      <c r="C34" s="16"/>
      <c r="D34" s="16" t="s">
        <v>56</v>
      </c>
    </row>
    <row r="35" spans="1:13" x14ac:dyDescent="0.3">
      <c r="A35" s="19"/>
      <c r="B35" s="19"/>
      <c r="C35" s="19"/>
      <c r="D35" s="19"/>
      <c r="E35" s="19"/>
    </row>
    <row r="36" spans="1:13" ht="15.6" x14ac:dyDescent="0.35">
      <c r="A36" s="20" t="s">
        <v>73</v>
      </c>
      <c r="B36" s="21"/>
      <c r="C36" s="21"/>
      <c r="D36" s="21"/>
      <c r="E36" s="21"/>
    </row>
    <row r="38" spans="1:13" ht="15.6" x14ac:dyDescent="0.35">
      <c r="A38" s="16" t="s">
        <v>54</v>
      </c>
      <c r="B38" s="16">
        <f>C4</f>
        <v>38</v>
      </c>
      <c r="C38" s="16"/>
      <c r="D38" s="16"/>
      <c r="E38" s="16"/>
    </row>
    <row r="39" spans="1:13" ht="15.6" x14ac:dyDescent="0.35">
      <c r="A39" s="16" t="s">
        <v>58</v>
      </c>
      <c r="B39" s="16">
        <f>C10</f>
        <v>69</v>
      </c>
      <c r="C39" s="16"/>
      <c r="D39" s="16" t="s">
        <v>57</v>
      </c>
      <c r="E39" s="16"/>
    </row>
    <row r="40" spans="1:13" x14ac:dyDescent="0.3">
      <c r="A40" s="16" t="s">
        <v>52</v>
      </c>
      <c r="B40" s="6">
        <f>C13*B22+C14*C22+C15*D22+C16*E22</f>
        <v>8.0800000000000011E-2</v>
      </c>
      <c r="C40" s="16"/>
      <c r="D40" s="16"/>
      <c r="E40" s="16"/>
    </row>
    <row r="41" spans="1:13" ht="15.6" x14ac:dyDescent="0.35">
      <c r="A41" s="16" t="s">
        <v>59</v>
      </c>
      <c r="B41" s="22">
        <f>B38*B34^(B40-1)</f>
        <v>76.328482940357219</v>
      </c>
      <c r="C41" s="16"/>
      <c r="D41" s="16" t="s">
        <v>53</v>
      </c>
      <c r="E41" s="16"/>
    </row>
    <row r="43" spans="1:13" x14ac:dyDescent="0.3">
      <c r="A43" s="20" t="s">
        <v>74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</row>
    <row r="45" spans="1:13" x14ac:dyDescent="0.3">
      <c r="J45" s="16" t="s">
        <v>62</v>
      </c>
      <c r="K45" s="16"/>
      <c r="L45" s="16"/>
      <c r="M45" s="16"/>
    </row>
    <row r="46" spans="1:13" x14ac:dyDescent="0.3">
      <c r="J46" s="16"/>
      <c r="K46" s="16"/>
      <c r="L46" s="16"/>
      <c r="M46" s="16"/>
    </row>
    <row r="47" spans="1:13" x14ac:dyDescent="0.3">
      <c r="J47" s="29" t="s">
        <v>60</v>
      </c>
      <c r="K47" s="29"/>
      <c r="L47" s="29" t="s">
        <v>64</v>
      </c>
      <c r="M47" s="29"/>
    </row>
    <row r="48" spans="1:13" x14ac:dyDescent="0.3">
      <c r="J48" s="16" t="s">
        <v>63</v>
      </c>
      <c r="K48" s="16" t="s">
        <v>61</v>
      </c>
      <c r="L48" s="16" t="s">
        <v>37</v>
      </c>
      <c r="M48" s="16" t="s">
        <v>1</v>
      </c>
    </row>
    <row r="49" spans="10:13" x14ac:dyDescent="0.3">
      <c r="J49" s="16">
        <v>1</v>
      </c>
      <c r="K49" s="16">
        <f>1-J49</f>
        <v>0</v>
      </c>
      <c r="L49" s="16">
        <f>(J49*$B$4)+(K49*$B$9)</f>
        <v>767</v>
      </c>
      <c r="M49" s="16">
        <f>(J49*$C$4)+(K49*$C$9)</f>
        <v>38</v>
      </c>
    </row>
    <row r="50" spans="10:13" x14ac:dyDescent="0.3">
      <c r="J50" s="16">
        <v>0.75</v>
      </c>
      <c r="K50" s="16">
        <f t="shared" ref="K50:K53" si="0">1-J50</f>
        <v>0.25</v>
      </c>
      <c r="L50" s="16">
        <f t="shared" ref="L50:L52" si="1">(J50*$B$4)+(K50*$B$9)</f>
        <v>590.25</v>
      </c>
      <c r="M50" s="16">
        <f t="shared" ref="M50:M53" si="2">(J50*$C$4)+(K50*$C$9)</f>
        <v>54.25</v>
      </c>
    </row>
    <row r="51" spans="10:13" x14ac:dyDescent="0.3">
      <c r="J51" s="16">
        <v>0.5</v>
      </c>
      <c r="K51" s="16">
        <f t="shared" si="0"/>
        <v>0.5</v>
      </c>
      <c r="L51" s="16">
        <f t="shared" si="1"/>
        <v>413.5</v>
      </c>
      <c r="M51" s="16">
        <f t="shared" si="2"/>
        <v>70.5</v>
      </c>
    </row>
    <row r="52" spans="10:13" x14ac:dyDescent="0.3">
      <c r="J52" s="16">
        <v>0.25</v>
      </c>
      <c r="K52" s="16">
        <f t="shared" si="0"/>
        <v>0.75</v>
      </c>
      <c r="L52" s="16">
        <f t="shared" si="1"/>
        <v>236.75</v>
      </c>
      <c r="M52" s="16">
        <f t="shared" si="2"/>
        <v>86.75</v>
      </c>
    </row>
    <row r="53" spans="10:13" x14ac:dyDescent="0.3">
      <c r="J53" s="16">
        <v>0</v>
      </c>
      <c r="K53" s="16">
        <f t="shared" si="0"/>
        <v>1</v>
      </c>
      <c r="L53" s="16">
        <f>(J53*$B$4)+(K53*$B$9)</f>
        <v>60</v>
      </c>
      <c r="M53" s="16">
        <f t="shared" si="2"/>
        <v>103</v>
      </c>
    </row>
  </sheetData>
  <mergeCells count="2">
    <mergeCell ref="J47:K47"/>
    <mergeCell ref="L47:M4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B9EE0-90BA-4DBB-9CE5-28D43615CAAB}">
  <dimension ref="A1:L31"/>
  <sheetViews>
    <sheetView zoomScale="70" zoomScaleNormal="70" workbookViewId="0">
      <selection activeCell="D7" sqref="D7"/>
    </sheetView>
  </sheetViews>
  <sheetFormatPr defaultRowHeight="14.4" x14ac:dyDescent="0.3"/>
  <cols>
    <col min="1" max="1" width="5" bestFit="1" customWidth="1"/>
    <col min="2" max="2" width="19.5546875" style="4" bestFit="1" customWidth="1"/>
    <col min="3" max="3" width="23" style="4" bestFit="1" customWidth="1"/>
    <col min="4" max="4" width="18.88671875" style="4" bestFit="1" customWidth="1"/>
    <col min="5" max="5" width="19.6640625" style="4" bestFit="1" customWidth="1"/>
    <col min="6" max="6" width="21.5546875" style="4" bestFit="1" customWidth="1"/>
    <col min="7" max="7" width="23" style="4" bestFit="1" customWidth="1"/>
    <col min="8" max="8" width="16.6640625" style="4" bestFit="1" customWidth="1"/>
    <col min="9" max="9" width="8.88671875" style="4" customWidth="1"/>
    <col min="10" max="10" width="37.33203125" style="4" bestFit="1" customWidth="1"/>
    <col min="11" max="11" width="26.44140625" bestFit="1" customWidth="1"/>
    <col min="12" max="12" width="32" bestFit="1" customWidth="1"/>
  </cols>
  <sheetData>
    <row r="1" spans="1:12" x14ac:dyDescent="0.3">
      <c r="A1" s="27" t="s">
        <v>23</v>
      </c>
      <c r="B1" s="23" t="s">
        <v>24</v>
      </c>
      <c r="C1" s="23" t="s">
        <v>25</v>
      </c>
      <c r="D1" s="23" t="s">
        <v>15</v>
      </c>
      <c r="E1" s="23" t="s">
        <v>17</v>
      </c>
      <c r="F1" s="23" t="s">
        <v>19</v>
      </c>
      <c r="G1" s="24" t="s">
        <v>21</v>
      </c>
      <c r="H1" s="24" t="s">
        <v>28</v>
      </c>
      <c r="I1" s="3"/>
      <c r="J1" s="24" t="s">
        <v>26</v>
      </c>
      <c r="K1" s="24" t="s">
        <v>27</v>
      </c>
      <c r="L1" s="24" t="s">
        <v>29</v>
      </c>
    </row>
    <row r="2" spans="1:12" x14ac:dyDescent="0.3">
      <c r="A2" s="28" t="s">
        <v>1</v>
      </c>
      <c r="B2" s="3">
        <v>2.3199999999999998</v>
      </c>
      <c r="C2" s="3">
        <v>0.6</v>
      </c>
      <c r="D2" s="3">
        <v>1.74</v>
      </c>
      <c r="E2" s="3">
        <v>49</v>
      </c>
      <c r="F2" s="3">
        <v>8.7999999999999995E-2</v>
      </c>
      <c r="G2" s="5">
        <v>0.56000000000000005</v>
      </c>
      <c r="H2" s="5">
        <v>7.5</v>
      </c>
      <c r="I2" s="5"/>
      <c r="J2" s="6">
        <f t="shared" ref="J2:J15" si="0">G2/F2</f>
        <v>6.3636363636363642</v>
      </c>
      <c r="K2" s="6">
        <f t="shared" ref="K2:K15" si="1">H2/F2</f>
        <v>85.227272727272734</v>
      </c>
      <c r="L2" s="6">
        <f>E2/F2</f>
        <v>556.81818181818187</v>
      </c>
    </row>
    <row r="3" spans="1:12" x14ac:dyDescent="0.3">
      <c r="A3" s="28" t="s">
        <v>0</v>
      </c>
      <c r="B3" s="3">
        <v>2.41</v>
      </c>
      <c r="C3" s="3">
        <v>6.6</v>
      </c>
      <c r="D3" s="3">
        <v>19.399999999999999</v>
      </c>
      <c r="E3" s="3">
        <v>456</v>
      </c>
      <c r="F3" s="3">
        <v>1.2</v>
      </c>
      <c r="G3" s="5">
        <v>6.3</v>
      </c>
      <c r="H3" s="5">
        <v>158</v>
      </c>
      <c r="I3" s="5"/>
      <c r="J3" s="6">
        <f t="shared" si="0"/>
        <v>5.25</v>
      </c>
      <c r="K3" s="6">
        <f t="shared" si="1"/>
        <v>131.66666666666669</v>
      </c>
      <c r="L3" s="6">
        <f t="shared" ref="L3:L15" si="2">E3/F3</f>
        <v>380</v>
      </c>
    </row>
    <row r="4" spans="1:12" x14ac:dyDescent="0.3">
      <c r="A4" s="28" t="s">
        <v>2</v>
      </c>
      <c r="B4" s="3">
        <v>2.98E-2</v>
      </c>
      <c r="C4" s="3">
        <v>0.08</v>
      </c>
      <c r="D4" s="3">
        <v>0.21</v>
      </c>
      <c r="E4" s="3">
        <v>5.6</v>
      </c>
      <c r="F4" s="3">
        <v>1.37E-2</v>
      </c>
      <c r="G4" s="5">
        <v>0.12</v>
      </c>
      <c r="H4" s="5">
        <v>0.64</v>
      </c>
      <c r="I4" s="5"/>
      <c r="J4" s="6">
        <f t="shared" si="0"/>
        <v>8.7591240875912408</v>
      </c>
      <c r="K4" s="6">
        <f t="shared" si="1"/>
        <v>46.715328467153284</v>
      </c>
      <c r="L4" s="6">
        <f t="shared" si="2"/>
        <v>408.7591240875912</v>
      </c>
    </row>
    <row r="5" spans="1:12" x14ac:dyDescent="0.3">
      <c r="A5" s="28" t="s">
        <v>3</v>
      </c>
      <c r="B5" s="3">
        <v>544</v>
      </c>
      <c r="C5" s="3">
        <v>240</v>
      </c>
      <c r="D5" s="3">
        <v>651</v>
      </c>
      <c r="E5" s="3">
        <v>15025</v>
      </c>
      <c r="F5" s="3">
        <v>60</v>
      </c>
      <c r="G5" s="5">
        <v>600</v>
      </c>
      <c r="H5" s="5">
        <v>3668</v>
      </c>
      <c r="I5" s="5"/>
      <c r="J5" s="6">
        <f t="shared" si="0"/>
        <v>10</v>
      </c>
      <c r="K5" s="6">
        <f t="shared" si="1"/>
        <v>61.133333333333333</v>
      </c>
      <c r="L5" s="6">
        <f>E5/F5</f>
        <v>250.41666666666666</v>
      </c>
    </row>
    <row r="6" spans="1:12" x14ac:dyDescent="0.3">
      <c r="A6" s="28" t="s">
        <v>4</v>
      </c>
      <c r="B6" s="3">
        <v>1.4200000000000001E-2</v>
      </c>
      <c r="C6" s="3">
        <v>3.6999999999999998E-2</v>
      </c>
      <c r="D6" s="3">
        <v>0.18</v>
      </c>
      <c r="E6" s="3">
        <v>0.7</v>
      </c>
      <c r="F6" s="3">
        <v>1.38E-2</v>
      </c>
      <c r="G6" s="5">
        <v>0.13200000000000001</v>
      </c>
      <c r="H6" s="5">
        <v>0.15</v>
      </c>
      <c r="I6" s="5"/>
      <c r="J6" s="6">
        <f t="shared" si="0"/>
        <v>9.5652173913043477</v>
      </c>
      <c r="K6" s="6">
        <f t="shared" si="1"/>
        <v>10.869565217391305</v>
      </c>
      <c r="L6" s="6">
        <f t="shared" si="2"/>
        <v>50.724637681159415</v>
      </c>
    </row>
    <row r="7" spans="1:12" x14ac:dyDescent="0.3">
      <c r="A7" s="28" t="s">
        <v>5</v>
      </c>
      <c r="B7" s="3">
        <v>0.247</v>
      </c>
      <c r="C7" s="3">
        <v>0.66</v>
      </c>
      <c r="D7" s="3">
        <v>2.77</v>
      </c>
      <c r="E7" s="3">
        <v>8</v>
      </c>
      <c r="F7" s="3">
        <v>0.21</v>
      </c>
      <c r="G7" s="5">
        <v>2.33</v>
      </c>
      <c r="H7" s="5">
        <v>1.78</v>
      </c>
      <c r="I7" s="5"/>
      <c r="J7" s="6">
        <f t="shared" si="0"/>
        <v>11.095238095238097</v>
      </c>
      <c r="K7" s="6">
        <f t="shared" si="1"/>
        <v>8.4761904761904763</v>
      </c>
      <c r="L7" s="6">
        <f t="shared" si="2"/>
        <v>38.095238095238095</v>
      </c>
    </row>
    <row r="8" spans="1:12" x14ac:dyDescent="0.3">
      <c r="A8" s="28" t="s">
        <v>6</v>
      </c>
      <c r="B8" s="3">
        <v>0.245</v>
      </c>
      <c r="C8" s="3">
        <v>0.64800000000000002</v>
      </c>
      <c r="D8" s="3">
        <v>2.13</v>
      </c>
      <c r="E8" s="3">
        <v>20</v>
      </c>
      <c r="F8" s="3">
        <v>0.23400000000000001</v>
      </c>
      <c r="G8" s="5">
        <v>2.5</v>
      </c>
      <c r="H8" s="5">
        <v>4.3899999999999997</v>
      </c>
      <c r="I8" s="5"/>
      <c r="J8" s="6">
        <f t="shared" si="0"/>
        <v>10.683760683760683</v>
      </c>
      <c r="K8" s="6">
        <f t="shared" si="1"/>
        <v>18.760683760683758</v>
      </c>
      <c r="L8" s="6">
        <f t="shared" si="2"/>
        <v>85.470085470085465</v>
      </c>
    </row>
    <row r="9" spans="1:12" x14ac:dyDescent="0.3">
      <c r="A9" s="28" t="s">
        <v>7</v>
      </c>
      <c r="B9" s="3">
        <v>0.63900000000000001</v>
      </c>
      <c r="C9" s="3">
        <v>1.68</v>
      </c>
      <c r="D9" s="3">
        <v>5.81</v>
      </c>
      <c r="E9" s="3">
        <v>43</v>
      </c>
      <c r="F9" s="3">
        <v>0.77200000000000002</v>
      </c>
      <c r="G9" s="5">
        <v>7.5</v>
      </c>
      <c r="H9" s="5">
        <v>10.41</v>
      </c>
      <c r="I9" s="5"/>
      <c r="J9" s="6">
        <f t="shared" si="0"/>
        <v>9.7150259067357503</v>
      </c>
      <c r="K9" s="6">
        <f t="shared" si="1"/>
        <v>13.484455958549223</v>
      </c>
      <c r="L9" s="6">
        <f t="shared" si="2"/>
        <v>55.699481865284973</v>
      </c>
    </row>
    <row r="10" spans="1:12" x14ac:dyDescent="0.3">
      <c r="A10" s="28" t="s">
        <v>8</v>
      </c>
      <c r="B10" s="3">
        <v>7.26</v>
      </c>
      <c r="C10" s="3">
        <v>19.899999999999999</v>
      </c>
      <c r="D10" s="3">
        <v>103</v>
      </c>
      <c r="E10" s="3">
        <v>320</v>
      </c>
      <c r="F10" s="3">
        <v>9.8000000000000007</v>
      </c>
      <c r="G10" s="5">
        <v>90</v>
      </c>
      <c r="H10" s="5">
        <v>361</v>
      </c>
      <c r="I10" s="5"/>
      <c r="J10" s="6">
        <f t="shared" si="0"/>
        <v>9.1836734693877542</v>
      </c>
      <c r="K10" s="6">
        <f t="shared" si="1"/>
        <v>36.836734693877546</v>
      </c>
      <c r="L10" s="6">
        <f t="shared" si="2"/>
        <v>32.653061224489797</v>
      </c>
    </row>
    <row r="11" spans="1:12" x14ac:dyDescent="0.3">
      <c r="A11" s="28" t="s">
        <v>9</v>
      </c>
      <c r="B11" s="3">
        <v>0.107</v>
      </c>
      <c r="C11" s="3">
        <v>0.28299999999999997</v>
      </c>
      <c r="D11" s="3">
        <v>1.21</v>
      </c>
      <c r="E11" s="3">
        <v>3.7</v>
      </c>
      <c r="F11" s="3">
        <v>0.19900000000000001</v>
      </c>
      <c r="G11" s="5">
        <v>2.0499999999999998</v>
      </c>
      <c r="H11" s="5">
        <v>1.21</v>
      </c>
      <c r="I11" s="5"/>
      <c r="J11" s="6">
        <f t="shared" si="0"/>
        <v>10.30150753768844</v>
      </c>
      <c r="K11" s="6">
        <f t="shared" si="1"/>
        <v>6.0804020100502507</v>
      </c>
      <c r="L11" s="6">
        <f t="shared" si="2"/>
        <v>18.592964824120603</v>
      </c>
    </row>
    <row r="12" spans="1:12" x14ac:dyDescent="0.3">
      <c r="A12" s="28" t="s">
        <v>10</v>
      </c>
      <c r="B12" s="3">
        <v>3.86</v>
      </c>
      <c r="C12" s="3">
        <v>10.5</v>
      </c>
      <c r="D12" s="3">
        <v>44.5</v>
      </c>
      <c r="E12" s="3">
        <v>132</v>
      </c>
      <c r="F12" s="3">
        <v>7.94</v>
      </c>
      <c r="G12" s="5">
        <v>74</v>
      </c>
      <c r="H12" s="5">
        <v>46.8</v>
      </c>
      <c r="I12" s="5"/>
      <c r="J12" s="6">
        <f t="shared" si="0"/>
        <v>9.3198992443324933</v>
      </c>
      <c r="K12" s="6">
        <f t="shared" si="1"/>
        <v>5.8942065491183868</v>
      </c>
      <c r="L12" s="6">
        <f t="shared" si="2"/>
        <v>16.624685138539043</v>
      </c>
    </row>
    <row r="13" spans="1:12" x14ac:dyDescent="0.3">
      <c r="A13" s="28" t="s">
        <v>11</v>
      </c>
      <c r="B13" s="3">
        <v>5.8000000000000003E-2</v>
      </c>
      <c r="C13" s="3">
        <v>0.154</v>
      </c>
      <c r="D13" s="3">
        <v>0.62</v>
      </c>
      <c r="E13" s="3">
        <v>1.1000000000000001</v>
      </c>
      <c r="F13" s="3">
        <v>0.107</v>
      </c>
      <c r="G13" s="5">
        <v>1.02</v>
      </c>
      <c r="H13" s="5">
        <v>0.74</v>
      </c>
      <c r="I13" s="5"/>
      <c r="J13" s="6">
        <f t="shared" si="0"/>
        <v>9.5327102803738324</v>
      </c>
      <c r="K13" s="6">
        <f t="shared" si="1"/>
        <v>6.91588785046729</v>
      </c>
      <c r="L13" s="6">
        <f t="shared" si="2"/>
        <v>10.280373831775702</v>
      </c>
    </row>
    <row r="14" spans="1:12" x14ac:dyDescent="0.3">
      <c r="A14" s="28" t="s">
        <v>12</v>
      </c>
      <c r="B14" s="3">
        <v>0.16500000000000001</v>
      </c>
      <c r="C14" s="3">
        <v>0.441</v>
      </c>
      <c r="D14" s="3">
        <v>1.85</v>
      </c>
      <c r="E14" s="3">
        <v>1.9</v>
      </c>
      <c r="F14" s="3">
        <v>0.40100000000000002</v>
      </c>
      <c r="G14" s="5">
        <v>3.05</v>
      </c>
      <c r="H14" s="5">
        <v>1.42</v>
      </c>
      <c r="I14" s="5"/>
      <c r="J14" s="6">
        <f t="shared" si="0"/>
        <v>7.6059850374064828</v>
      </c>
      <c r="K14" s="6">
        <f t="shared" si="1"/>
        <v>3.5411471321695758</v>
      </c>
      <c r="L14" s="6">
        <f t="shared" si="2"/>
        <v>4.7381546134663335</v>
      </c>
    </row>
    <row r="15" spans="1:12" x14ac:dyDescent="0.3">
      <c r="A15" s="28" t="s">
        <v>13</v>
      </c>
      <c r="B15" s="3">
        <v>1.56</v>
      </c>
      <c r="C15" s="3">
        <v>4.3</v>
      </c>
      <c r="D15" s="3">
        <v>18.100000000000001</v>
      </c>
      <c r="E15" s="3">
        <v>19</v>
      </c>
      <c r="F15" s="3">
        <v>4.07</v>
      </c>
      <c r="G15" s="5">
        <v>28</v>
      </c>
      <c r="H15" s="5">
        <v>13.1</v>
      </c>
      <c r="I15" s="5"/>
      <c r="J15" s="6">
        <f t="shared" si="0"/>
        <v>6.8796068796068788</v>
      </c>
      <c r="K15" s="6">
        <f t="shared" si="1"/>
        <v>3.2186732186732185</v>
      </c>
      <c r="L15" s="6">
        <f t="shared" si="2"/>
        <v>4.6683046683046676</v>
      </c>
    </row>
    <row r="16" spans="1:12" x14ac:dyDescent="0.3">
      <c r="J16" s="2"/>
    </row>
    <row r="17" spans="1:10" x14ac:dyDescent="0.3">
      <c r="A17" s="1"/>
      <c r="B17" s="3" t="s">
        <v>14</v>
      </c>
      <c r="C17" s="3" t="s">
        <v>22</v>
      </c>
      <c r="D17" s="3" t="s">
        <v>16</v>
      </c>
      <c r="E17" s="3" t="s">
        <v>18</v>
      </c>
      <c r="F17" s="3" t="s">
        <v>20</v>
      </c>
      <c r="G17" s="3"/>
      <c r="H17" s="1"/>
      <c r="I17" s="3"/>
      <c r="J17" s="2"/>
    </row>
    <row r="18" spans="1:10" x14ac:dyDescent="0.3">
      <c r="J18" s="2"/>
    </row>
    <row r="19" spans="1:10" x14ac:dyDescent="0.3">
      <c r="J19" s="2"/>
    </row>
    <row r="20" spans="1:10" x14ac:dyDescent="0.3">
      <c r="J20" s="2"/>
    </row>
    <row r="21" spans="1:10" x14ac:dyDescent="0.3">
      <c r="J21" s="2"/>
    </row>
    <row r="22" spans="1:10" x14ac:dyDescent="0.3">
      <c r="J22" s="2"/>
    </row>
    <row r="23" spans="1:10" x14ac:dyDescent="0.3">
      <c r="J23" s="2"/>
    </row>
    <row r="24" spans="1:10" x14ac:dyDescent="0.3">
      <c r="J24" s="2"/>
    </row>
    <row r="25" spans="1:10" x14ac:dyDescent="0.3">
      <c r="J25" s="1"/>
    </row>
    <row r="26" spans="1:10" x14ac:dyDescent="0.3">
      <c r="J26" s="2"/>
    </row>
    <row r="27" spans="1:10" x14ac:dyDescent="0.3">
      <c r="J27" s="2"/>
    </row>
    <row r="28" spans="1:10" x14ac:dyDescent="0.3">
      <c r="J28" s="2"/>
    </row>
    <row r="29" spans="1:10" x14ac:dyDescent="0.3">
      <c r="J29" s="2"/>
    </row>
    <row r="30" spans="1:10" x14ac:dyDescent="0.3">
      <c r="J30" s="2"/>
    </row>
    <row r="31" spans="1:10" x14ac:dyDescent="0.3">
      <c r="J31" s="2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 1</vt:lpstr>
      <vt:lpstr>Question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Neave</dc:creator>
  <cp:lastModifiedBy>David Neave</cp:lastModifiedBy>
  <dcterms:created xsi:type="dcterms:W3CDTF">2020-08-18T12:32:57Z</dcterms:created>
  <dcterms:modified xsi:type="dcterms:W3CDTF">2022-09-14T20:52:45Z</dcterms:modified>
</cp:coreProperties>
</file>