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Amandine Gillet\Documents\Back2Sea\Teaching\Manchester - Morphology practicals\"/>
    </mc:Choice>
  </mc:AlternateContent>
  <xr:revisionPtr revIDLastSave="0" documentId="13_ncr:1_{565890B2-00FA-4584-9B9B-2CD4084FCA76}" xr6:coauthVersionLast="47" xr6:coauthVersionMax="47" xr10:uidLastSave="{00000000-0000-0000-0000-000000000000}"/>
  <bookViews>
    <workbookView xWindow="-120" yWindow="-120" windowWidth="29040" windowHeight="15840" xr2:uid="{FB2C7E3E-632F-4084-9DBB-530E9F12D3FB}"/>
  </bookViews>
  <sheets>
    <sheet name="Task 1" sheetId="1" r:id="rId1"/>
    <sheet name="Task 2" sheetId="2" r:id="rId2"/>
  </sheets>
  <calcPr calcId="191029"/>
  <pivotCaches>
    <pivotCache cacheId="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J15" i="2"/>
  <c r="H16" i="2"/>
  <c r="H17" i="2"/>
  <c r="H18" i="2"/>
  <c r="H19" i="2"/>
  <c r="H20" i="2"/>
  <c r="H21" i="2"/>
  <c r="H22" i="2"/>
  <c r="H15" i="2"/>
  <c r="D5" i="1"/>
</calcChain>
</file>

<file path=xl/sharedStrings.xml><?xml version="1.0" encoding="utf-8"?>
<sst xmlns="http://schemas.openxmlformats.org/spreadsheetml/2006/main" count="131" uniqueCount="73">
  <si>
    <t>Team:</t>
  </si>
  <si>
    <t>#</t>
  </si>
  <si>
    <t>Names</t>
  </si>
  <si>
    <t>TASK 1 : Metacarpal shape</t>
  </si>
  <si>
    <t>[Type team #]</t>
  </si>
  <si>
    <t>Measurements:</t>
  </si>
  <si>
    <t>Group</t>
  </si>
  <si>
    <t>Common name</t>
  </si>
  <si>
    <t>Species</t>
  </si>
  <si>
    <t>Specimen number</t>
  </si>
  <si>
    <t>Length (mm)</t>
  </si>
  <si>
    <t>Breadth (mm)</t>
  </si>
  <si>
    <t>Bovid</t>
  </si>
  <si>
    <t>Small sheep</t>
  </si>
  <si>
    <t>Ovis aries</t>
  </si>
  <si>
    <t>Large sheep</t>
  </si>
  <si>
    <t>Cervid</t>
  </si>
  <si>
    <t>Roe deer</t>
  </si>
  <si>
    <t>Capreolus capreolus</t>
  </si>
  <si>
    <t>Red deer</t>
  </si>
  <si>
    <t>Cervus elaphus</t>
  </si>
  <si>
    <t>Moose</t>
  </si>
  <si>
    <t>Alces alces</t>
  </si>
  <si>
    <t>Small cattle</t>
  </si>
  <si>
    <t>Bos taurus</t>
  </si>
  <si>
    <t>Large cattle</t>
  </si>
  <si>
    <t>Giraffid</t>
  </si>
  <si>
    <t>Giraffe</t>
  </si>
  <si>
    <t>Giraffa camelopardalis</t>
  </si>
  <si>
    <t>Forest Giraffe</t>
  </si>
  <si>
    <t>Okapia johnstoni</t>
  </si>
  <si>
    <t>Bohlinia attica</t>
  </si>
  <si>
    <t>Palaeotragus rouenii</t>
  </si>
  <si>
    <t>Canthumeryx sirtensis</t>
  </si>
  <si>
    <r>
      <t>Bohlinia</t>
    </r>
    <r>
      <rPr>
        <i/>
        <sz val="11"/>
        <color theme="1"/>
        <rFont val="Calibri"/>
        <family val="2"/>
        <scheme val="minor"/>
      </rPr>
      <t xml:space="preserve"> (extinct)</t>
    </r>
  </si>
  <si>
    <r>
      <t>Paleotragus</t>
    </r>
    <r>
      <rPr>
        <i/>
        <sz val="11"/>
        <color theme="1"/>
        <rFont val="Calibri"/>
        <family val="2"/>
        <scheme val="minor"/>
      </rPr>
      <t xml:space="preserve"> (extinct)</t>
    </r>
  </si>
  <si>
    <r>
      <t>Canthumeryx</t>
    </r>
    <r>
      <rPr>
        <i/>
        <sz val="11"/>
        <color theme="1"/>
        <rFont val="Calibri"/>
        <family val="2"/>
        <scheme val="minor"/>
      </rPr>
      <t xml:space="preserve"> (extinct)</t>
    </r>
  </si>
  <si>
    <t>Bohlinia (extinct)</t>
  </si>
  <si>
    <t>Canthumeryx (extinct)</t>
  </si>
  <si>
    <t>Paleotragus (extinct)</t>
  </si>
  <si>
    <r>
      <t>Giraffa camelopardalis</t>
    </r>
    <r>
      <rPr>
        <i/>
        <sz val="11"/>
        <color theme="0"/>
        <rFont val="Calibri"/>
        <family val="2"/>
        <scheme val="minor"/>
      </rPr>
      <t xml:space="preserve"> B</t>
    </r>
  </si>
  <si>
    <t>Giraffe 2</t>
  </si>
  <si>
    <t>Sum of Length (mm)</t>
  </si>
  <si>
    <t>Sum of Breadth (mm)</t>
  </si>
  <si>
    <r>
      <t>Giraffe</t>
    </r>
    <r>
      <rPr>
        <sz val="11"/>
        <color theme="0"/>
        <rFont val="Calibri"/>
        <family val="2"/>
        <scheme val="minor"/>
      </rPr>
      <t xml:space="preserve"> 2</t>
    </r>
  </si>
  <si>
    <t>(blank)</t>
  </si>
  <si>
    <t>Fill in the table below with the measurements taken by your team &amp; giraffid measurements from the table from Rios et al.                    For the 'Group' column, select the corresponding group (Bovid, Cervid, or Giraffid) for the species from the drop-down menu.      Don't forget to include the specimen number</t>
  </si>
  <si>
    <t>Valeurs</t>
  </si>
  <si>
    <t>Scatter plot:</t>
  </si>
  <si>
    <t>From Rios et al.</t>
  </si>
  <si>
    <t>Example</t>
  </si>
  <si>
    <r>
      <t>Click anywhere on the blue banner below. Then go to the '</t>
    </r>
    <r>
      <rPr>
        <b/>
        <i/>
        <sz val="11"/>
        <color theme="1" tint="0.499984740745262"/>
        <rFont val="Calibri"/>
        <family val="2"/>
        <scheme val="minor"/>
      </rPr>
      <t>PivotTable Analyze</t>
    </r>
    <r>
      <rPr>
        <i/>
        <sz val="11"/>
        <color theme="1" tint="0.499984740745262"/>
        <rFont val="Calibri"/>
        <family val="2"/>
        <scheme val="minor"/>
      </rPr>
      <t>' tab in the banner on top of the spreadsheet, click '</t>
    </r>
    <r>
      <rPr>
        <b/>
        <i/>
        <sz val="11"/>
        <color theme="1" tint="0.499984740745262"/>
        <rFont val="Calibri"/>
        <family val="2"/>
        <scheme val="minor"/>
      </rPr>
      <t>Refresh</t>
    </r>
    <r>
      <rPr>
        <i/>
        <sz val="11"/>
        <color theme="1" tint="0.499984740745262"/>
        <rFont val="Calibri"/>
        <family val="2"/>
        <scheme val="minor"/>
      </rPr>
      <t>' &gt; '</t>
    </r>
    <r>
      <rPr>
        <b/>
        <i/>
        <sz val="11"/>
        <color theme="1" tint="0.499984740745262"/>
        <rFont val="Calibri"/>
        <family val="2"/>
        <scheme val="minor"/>
      </rPr>
      <t>Refresh All</t>
    </r>
    <r>
      <rPr>
        <i/>
        <sz val="11"/>
        <color theme="1" tint="0.499984740745262"/>
        <rFont val="Calibri"/>
        <family val="2"/>
        <scheme val="minor"/>
      </rPr>
      <t>'</t>
    </r>
  </si>
  <si>
    <r>
      <rPr>
        <b/>
        <i/>
        <u/>
        <sz val="13"/>
        <color theme="5"/>
        <rFont val="Calibri"/>
        <family val="2"/>
        <scheme val="minor"/>
      </rPr>
      <t>STEP 1:</t>
    </r>
    <r>
      <rPr>
        <b/>
        <i/>
        <sz val="13"/>
        <color theme="5"/>
        <rFont val="Calibri"/>
        <family val="2"/>
        <scheme val="minor"/>
      </rPr>
      <t xml:space="preserve"> Fill in the Measurement table below</t>
    </r>
  </si>
  <si>
    <r>
      <rPr>
        <b/>
        <i/>
        <u/>
        <sz val="13"/>
        <color theme="5"/>
        <rFont val="Calibri"/>
        <family val="2"/>
        <scheme val="minor"/>
      </rPr>
      <t>STEP 2:</t>
    </r>
    <r>
      <rPr>
        <b/>
        <i/>
        <sz val="13"/>
        <color theme="5"/>
        <rFont val="Calibri"/>
        <family val="2"/>
        <scheme val="minor"/>
      </rPr>
      <t xml:space="preserve"> Refresh the summary table below</t>
    </r>
  </si>
  <si>
    <r>
      <rPr>
        <b/>
        <i/>
        <u/>
        <sz val="13"/>
        <color theme="5"/>
        <rFont val="Calibri"/>
        <family val="2"/>
        <scheme val="minor"/>
      </rPr>
      <t>STEP 3:</t>
    </r>
    <r>
      <rPr>
        <b/>
        <i/>
        <sz val="13"/>
        <color theme="5"/>
        <rFont val="Calibri"/>
        <family val="2"/>
        <scheme val="minor"/>
      </rPr>
      <t xml:space="preserve"> Look at the scatter plot and linear fits for all specimens and for each group</t>
    </r>
  </si>
  <si>
    <r>
      <rPr>
        <b/>
        <sz val="14"/>
        <color theme="1"/>
        <rFont val="Calibri"/>
        <family val="2"/>
        <scheme val="minor"/>
      </rPr>
      <t xml:space="preserve">        </t>
    </r>
    <r>
      <rPr>
        <b/>
        <u/>
        <sz val="14"/>
        <color theme="1"/>
        <rFont val="Calibri"/>
        <family val="2"/>
        <scheme val="minor"/>
      </rPr>
      <t>Comparative Morphology Practical</t>
    </r>
  </si>
  <si>
    <t>TASK 2 : Joint scaling</t>
  </si>
  <si>
    <t>Width (mm)</t>
  </si>
  <si>
    <t>Diameter (mm)</t>
  </si>
  <si>
    <t>Mass (kg)</t>
  </si>
  <si>
    <t>Area (mm²)</t>
  </si>
  <si>
    <t>Fill in the table below with the measurements taken by your team.                                                                                                                                                            Enter the corresponding group (Bovid, Cervid, or Giraffid) for each specimen in the 'Group' column.                                                                                            Area will be automatically calculated when width and diameter ara provided in the table.                                                                                                                                      Don't forget to include the specimen number</t>
  </si>
  <si>
    <t>Log10 mass</t>
  </si>
  <si>
    <t>Log10 area</t>
  </si>
  <si>
    <t>Log10 transformed measurements:</t>
  </si>
  <si>
    <r>
      <rPr>
        <b/>
        <i/>
        <u/>
        <sz val="13"/>
        <color theme="5"/>
        <rFont val="Calibri"/>
        <family val="2"/>
        <scheme val="minor"/>
      </rPr>
      <t>STEP 3:</t>
    </r>
    <r>
      <rPr>
        <b/>
        <i/>
        <sz val="13"/>
        <color theme="5"/>
        <rFont val="Calibri"/>
        <family val="2"/>
        <scheme val="minor"/>
      </rPr>
      <t xml:space="preserve"> Fill in the Measurement table below</t>
    </r>
  </si>
  <si>
    <t>Log transform the body mass and area values using the formula =log10(x)                                                        See example provided in cell I15</t>
  </si>
  <si>
    <r>
      <rPr>
        <b/>
        <i/>
        <u/>
        <sz val="13"/>
        <color theme="5"/>
        <rFont val="Calibri"/>
        <family val="2"/>
        <scheme val="minor"/>
      </rPr>
      <t>STEP 2:</t>
    </r>
    <r>
      <rPr>
        <b/>
        <i/>
        <sz val="13"/>
        <color theme="5"/>
        <rFont val="Calibri"/>
        <family val="2"/>
        <scheme val="minor"/>
      </rPr>
      <t xml:space="preserve"> Plot area vs. mass and analyse the graph</t>
    </r>
  </si>
  <si>
    <t>Look at the plot below. How does the slope and intercept vary between these three groups? What might this mean for how their shape changes as they increase in size? What are the biomechanical implications?                                                                                                                                                                                                                                                                                                                 Copy-paste your plot in the google spreadsheet</t>
  </si>
  <si>
    <r>
      <rPr>
        <b/>
        <i/>
        <u/>
        <sz val="13"/>
        <color theme="5"/>
        <rFont val="Calibri"/>
        <family val="2"/>
        <scheme val="minor"/>
      </rPr>
      <t>STEP 4:</t>
    </r>
    <r>
      <rPr>
        <b/>
        <i/>
        <sz val="13"/>
        <color theme="5"/>
        <rFont val="Calibri"/>
        <family val="2"/>
        <scheme val="minor"/>
      </rPr>
      <t>Plot log10(area) vs log10(mass) and analyse the graph</t>
    </r>
  </si>
  <si>
    <t>How does joint area change as size increases? Why is this?</t>
  </si>
  <si>
    <t>What impact does log-transforming the data have and why might it be useful to use a log transform?                             What is the slope of your regression? What does that tell you about how joint area scales?                                                     Copy-paste your graph in the google spreadsheet</t>
  </si>
  <si>
    <t>[Type team members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</si>
</sst>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u/>
      <sz val="14"/>
      <color theme="1"/>
      <name val="Calibri"/>
      <family val="2"/>
      <scheme val="minor"/>
    </font>
    <font>
      <b/>
      <u/>
      <sz val="11"/>
      <color theme="1"/>
      <name val="Calibri"/>
      <family val="2"/>
      <scheme val="minor"/>
    </font>
    <font>
      <i/>
      <sz val="11"/>
      <color theme="1"/>
      <name val="Calibri"/>
      <family val="2"/>
      <scheme val="minor"/>
    </font>
    <font>
      <i/>
      <sz val="11"/>
      <color theme="1" tint="0.499984740745262"/>
      <name val="Calibri"/>
      <family val="2"/>
      <scheme val="minor"/>
    </font>
    <font>
      <i/>
      <sz val="11"/>
      <color theme="0"/>
      <name val="Calibri"/>
      <family val="2"/>
      <scheme val="minor"/>
    </font>
    <font>
      <sz val="11"/>
      <color theme="1" tint="0.499984740745262"/>
      <name val="Calibri"/>
      <family val="2"/>
      <scheme val="minor"/>
    </font>
    <font>
      <sz val="11"/>
      <color theme="4" tint="0.79998168889431442"/>
      <name val="Calibri"/>
      <family val="2"/>
      <scheme val="minor"/>
    </font>
    <font>
      <b/>
      <i/>
      <sz val="11"/>
      <color theme="1" tint="0.499984740745262"/>
      <name val="Calibri"/>
      <family val="2"/>
      <scheme val="minor"/>
    </font>
    <font>
      <b/>
      <i/>
      <sz val="13"/>
      <color theme="5"/>
      <name val="Calibri"/>
      <family val="2"/>
      <scheme val="minor"/>
    </font>
    <font>
      <b/>
      <i/>
      <u/>
      <sz val="13"/>
      <color theme="5"/>
      <name val="Calibri"/>
      <family val="2"/>
      <scheme val="minor"/>
    </font>
    <font>
      <sz val="11"/>
      <color rgb="FFFF000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
      <patternFill patternType="solid">
        <fgColor theme="8" tint="0.59999389629810485"/>
        <bgColor indexed="64"/>
      </patternFill>
    </fill>
  </fills>
  <borders count="13">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style="thin">
        <color indexed="64"/>
      </top>
      <bottom style="thin">
        <color indexed="64"/>
      </bottom>
      <diagonal/>
    </border>
    <border>
      <left/>
      <right style="thin">
        <color theme="1" tint="0.499984740745262"/>
      </right>
      <top/>
      <bottom style="thin">
        <color indexed="64"/>
      </bottom>
      <diagonal/>
    </border>
    <border>
      <left/>
      <right/>
      <top/>
      <bottom style="thin">
        <color theme="1" tint="0.499984740745262"/>
      </bottom>
      <diagonal/>
    </border>
  </borders>
  <cellStyleXfs count="1">
    <xf numFmtId="0" fontId="0" fillId="0" borderId="0"/>
  </cellStyleXfs>
  <cellXfs count="44">
    <xf numFmtId="0" fontId="0" fillId="0" borderId="0" xfId="0"/>
    <xf numFmtId="0" fontId="0" fillId="0" borderId="0" xfId="0" quotePrefix="1"/>
    <xf numFmtId="0" fontId="1" fillId="0" borderId="0" xfId="0" applyFont="1"/>
    <xf numFmtId="0" fontId="3" fillId="0" borderId="0" xfId="0" applyFont="1"/>
    <xf numFmtId="0" fontId="2" fillId="2" borderId="0" xfId="0" applyFont="1" applyFill="1"/>
    <xf numFmtId="0" fontId="7" fillId="0" borderId="0" xfId="0" applyFont="1"/>
    <xf numFmtId="0" fontId="6" fillId="3" borderId="1" xfId="0" applyFont="1" applyFill="1" applyBorder="1"/>
    <xf numFmtId="0" fontId="10" fillId="0" borderId="0" xfId="0" applyFont="1"/>
    <xf numFmtId="0" fontId="11" fillId="0" borderId="0" xfId="0" applyFont="1"/>
    <xf numFmtId="0" fontId="11" fillId="0" borderId="0" xfId="0" pivotButton="1" applyFont="1"/>
    <xf numFmtId="0" fontId="8" fillId="0" borderId="0" xfId="0" applyFont="1"/>
    <xf numFmtId="0" fontId="8" fillId="0" borderId="0" xfId="0" quotePrefix="1" applyFont="1"/>
    <xf numFmtId="0" fontId="15" fillId="0" borderId="0" xfId="0" applyFont="1"/>
    <xf numFmtId="0" fontId="13" fillId="0" borderId="0" xfId="0" applyFont="1" applyAlignment="1">
      <alignment horizontal="left" vertical="center"/>
    </xf>
    <xf numFmtId="0" fontId="8" fillId="0" borderId="0" xfId="0" applyFont="1" applyAlignment="1">
      <alignment horizontal="center" vertical="center" wrapText="1"/>
    </xf>
    <xf numFmtId="0" fontId="0" fillId="0" borderId="1" xfId="0" applyBorder="1"/>
    <xf numFmtId="0" fontId="6" fillId="3" borderId="3" xfId="0" applyFont="1" applyFill="1" applyBorder="1"/>
    <xf numFmtId="0" fontId="7" fillId="0" borderId="1" xfId="0" applyFont="1" applyBorder="1"/>
    <xf numFmtId="0" fontId="6" fillId="3" borderId="2" xfId="0" applyFont="1" applyFill="1" applyBorder="1"/>
    <xf numFmtId="0" fontId="8" fillId="0" borderId="0" xfId="0" applyFont="1" applyAlignment="1">
      <alignment vertical="center" wrapText="1"/>
    </xf>
    <xf numFmtId="0" fontId="6" fillId="0" borderId="0" xfId="0" applyFont="1"/>
    <xf numFmtId="0" fontId="13" fillId="0" borderId="0" xfId="0" applyFont="1" applyAlignment="1">
      <alignment vertical="center"/>
    </xf>
    <xf numFmtId="0" fontId="6" fillId="3" borderId="8" xfId="0" applyFont="1" applyFill="1" applyBorder="1"/>
    <xf numFmtId="0" fontId="6" fillId="3" borderId="9" xfId="0" applyFont="1" applyFill="1" applyBorder="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0" fontId="8" fillId="0" borderId="0" xfId="0" applyFont="1" applyAlignment="1">
      <alignment horizontal="center" vertical="center"/>
    </xf>
    <xf numFmtId="0" fontId="6" fillId="0" borderId="0" xfId="0" applyFont="1" applyAlignment="1">
      <alignment horizontal="center"/>
    </xf>
    <xf numFmtId="0" fontId="6" fillId="3" borderId="10" xfId="0" applyFont="1" applyFill="1" applyBorder="1"/>
    <xf numFmtId="164" fontId="0" fillId="0" borderId="11" xfId="0" applyNumberFormat="1" applyBorder="1"/>
    <xf numFmtId="0" fontId="5" fillId="0" borderId="0" xfId="0" applyFont="1" applyAlignment="1">
      <alignment vertical="center"/>
    </xf>
    <xf numFmtId="0" fontId="5" fillId="0" borderId="0" xfId="0" applyFont="1" applyAlignment="1">
      <alignment horizontal="left"/>
    </xf>
    <xf numFmtId="0" fontId="0" fillId="0" borderId="0" xfId="0" quotePrefix="1" applyAlignment="1">
      <alignment horizontal="left"/>
    </xf>
    <xf numFmtId="0" fontId="8" fillId="0" borderId="0" xfId="0" applyFont="1" applyAlignment="1">
      <alignment horizontal="center" vertical="center" wrapText="1"/>
    </xf>
    <xf numFmtId="0" fontId="5" fillId="4" borderId="0" xfId="0" applyFont="1" applyFill="1" applyAlignment="1">
      <alignment horizontal="left" vertical="center"/>
    </xf>
    <xf numFmtId="0" fontId="6" fillId="2" borderId="0" xfId="0" applyFont="1" applyFill="1" applyAlignment="1">
      <alignment horizontal="center"/>
    </xf>
    <xf numFmtId="0" fontId="13" fillId="0" borderId="0" xfId="0" applyFont="1" applyAlignment="1">
      <alignment horizontal="left" vertical="center"/>
    </xf>
    <xf numFmtId="0" fontId="4" fillId="2" borderId="0" xfId="0" applyFont="1" applyFill="1" applyAlignment="1">
      <alignment horizontal="left" vertical="center"/>
    </xf>
    <xf numFmtId="0" fontId="8" fillId="0" borderId="1" xfId="0" applyFont="1" applyBorder="1" applyAlignment="1">
      <alignment horizontal="center" vertical="center" wrapText="1"/>
    </xf>
    <xf numFmtId="0" fontId="8" fillId="0" borderId="0" xfId="0" applyFont="1" applyAlignment="1">
      <alignment horizontal="left" vertical="center" wrapText="1"/>
    </xf>
    <xf numFmtId="0" fontId="8" fillId="0" borderId="12" xfId="0" applyFont="1" applyBorder="1" applyAlignment="1">
      <alignment horizontal="center" vertical="center" wrapText="1"/>
    </xf>
    <xf numFmtId="0" fontId="8" fillId="0" borderId="0" xfId="0" applyFont="1" applyAlignment="1">
      <alignment horizontal="center" vertical="center"/>
    </xf>
  </cellXfs>
  <cellStyles count="1">
    <cellStyle name="Normal" xfId="0" builtinId="0"/>
  </cellStyles>
  <dxfs count="16">
    <dxf>
      <font>
        <b val="0"/>
        <i/>
        <strike val="0"/>
        <condense val="0"/>
        <extend val="0"/>
        <outline val="0"/>
        <shadow val="0"/>
        <u val="none"/>
        <vertAlign val="baseline"/>
        <sz val="11"/>
        <color theme="1"/>
        <name val="Calibri"/>
        <family val="2"/>
        <scheme val="minor"/>
      </font>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1"/>
        <color theme="1"/>
        <name val="Calibri"/>
        <family val="2"/>
        <scheme val="minor"/>
      </font>
      <fill>
        <patternFill patternType="solid">
          <fgColor indexed="64"/>
          <bgColor theme="0" tint="-4.9989318521683403E-2"/>
        </patternFill>
      </fill>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4" tint="0.79998168889431442"/>
      </font>
    </dxf>
    <dxf>
      <font>
        <color theme="0"/>
      </font>
    </dxf>
  </dxfs>
  <tableStyles count="0" defaultTableStyle="TableStyleMedium2" defaultPivotStyle="PivotStyleLight16"/>
  <colors>
    <mruColors>
      <color rgb="FFFD9D3D"/>
      <color rgb="FF924848"/>
      <color rgb="FF6AA3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'Task 1'!$D$5</c:f>
          <c:strCache>
            <c:ptCount val="1"/>
            <c:pt idx="0">
              <c:v>Team: [Type team #] - [Type team members names]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v>All</c:v>
          </c:tx>
          <c:spPr>
            <a:ln w="25400" cap="rnd">
              <a:noFill/>
              <a:round/>
            </a:ln>
            <a:effectLst/>
          </c:spPr>
          <c:marker>
            <c:symbol val="none"/>
          </c:marker>
          <c:trendline>
            <c:spPr>
              <a:ln w="19050" cap="rnd">
                <a:solidFill>
                  <a:schemeClr val="bg2">
                    <a:lumMod val="75000"/>
                  </a:schemeClr>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trendlineLbl>
          </c:trendline>
          <c:xVal>
            <c:numRef>
              <c:f>'Task 1'!$E$15:$E$27</c:f>
              <c:numCache>
                <c:formatCode>General</c:formatCode>
                <c:ptCount val="13"/>
                <c:pt idx="12">
                  <c:v>270</c:v>
                </c:pt>
              </c:numCache>
            </c:numRef>
          </c:xVal>
          <c:yVal>
            <c:numRef>
              <c:f>'Task 1'!$F$15:$F$27</c:f>
              <c:numCache>
                <c:formatCode>General</c:formatCode>
                <c:ptCount val="13"/>
                <c:pt idx="12">
                  <c:v>19.100000000000001</c:v>
                </c:pt>
              </c:numCache>
            </c:numRef>
          </c:yVal>
          <c:smooth val="0"/>
          <c:extLst>
            <c:ext xmlns:c16="http://schemas.microsoft.com/office/drawing/2014/chart" uri="{C3380CC4-5D6E-409C-BE32-E72D297353CC}">
              <c16:uniqueId val="{00000003-2034-4AA6-BFE0-2F083D776FEA}"/>
            </c:ext>
          </c:extLst>
        </c:ser>
        <c:ser>
          <c:idx val="0"/>
          <c:order val="1"/>
          <c:tx>
            <c:strRef>
              <c:f>'Task 1'!$J$15</c:f>
              <c:strCache>
                <c:ptCount val="1"/>
                <c:pt idx="0">
                  <c:v>Bovid</c:v>
                </c:pt>
              </c:strCache>
            </c:strRef>
          </c:tx>
          <c:spPr>
            <a:ln w="25400" cap="rnd">
              <a:noFill/>
              <a:round/>
            </a:ln>
            <a:effectLst/>
          </c:spPr>
          <c:marker>
            <c:symbol val="circle"/>
            <c:size val="7"/>
            <c:spPr>
              <a:solidFill>
                <a:srgbClr val="6AA343"/>
              </a:solidFill>
              <a:ln w="9525">
                <a:solidFill>
                  <a:srgbClr val="6AA343"/>
                </a:solidFill>
              </a:ln>
              <a:effectLst/>
            </c:spPr>
          </c:marker>
          <c:trendline>
            <c:spPr>
              <a:ln w="25400" cap="rnd">
                <a:solidFill>
                  <a:srgbClr val="6AA34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000" b="0" i="0" u="none" strike="noStrike" kern="1200" baseline="0">
                      <a:solidFill>
                        <a:srgbClr val="6AA343"/>
                      </a:solidFill>
                      <a:latin typeface="+mn-lt"/>
                      <a:ea typeface="+mn-ea"/>
                      <a:cs typeface="+mn-cs"/>
                    </a:defRPr>
                  </a:pPr>
                  <a:endParaRPr lang="en-US"/>
                </a:p>
              </c:txPr>
            </c:trendlineLbl>
          </c:trendline>
          <c:xVal>
            <c:numRef>
              <c:f>'Task 1'!$J$17:$J$29</c:f>
              <c:numCache>
                <c:formatCode>General</c:formatCode>
                <c:ptCount val="13"/>
              </c:numCache>
            </c:numRef>
          </c:xVal>
          <c:yVal>
            <c:numRef>
              <c:f>'Task 1'!$K$17:$K$29</c:f>
              <c:numCache>
                <c:formatCode>General</c:formatCode>
                <c:ptCount val="13"/>
              </c:numCache>
            </c:numRef>
          </c:yVal>
          <c:smooth val="0"/>
          <c:extLst>
            <c:ext xmlns:c16="http://schemas.microsoft.com/office/drawing/2014/chart" uri="{C3380CC4-5D6E-409C-BE32-E72D297353CC}">
              <c16:uniqueId val="{00000000-8E1F-4B30-9863-FC565AB86B9A}"/>
            </c:ext>
          </c:extLst>
        </c:ser>
        <c:ser>
          <c:idx val="1"/>
          <c:order val="2"/>
          <c:tx>
            <c:strRef>
              <c:f>'Task 1'!$L$15</c:f>
              <c:strCache>
                <c:ptCount val="1"/>
                <c:pt idx="0">
                  <c:v>Cervid</c:v>
                </c:pt>
              </c:strCache>
            </c:strRef>
          </c:tx>
          <c:spPr>
            <a:ln w="25400" cap="rnd">
              <a:noFill/>
              <a:round/>
            </a:ln>
            <a:effectLst/>
          </c:spPr>
          <c:marker>
            <c:symbol val="x"/>
            <c:size val="7"/>
            <c:spPr>
              <a:solidFill>
                <a:srgbClr val="924848"/>
              </a:solidFill>
              <a:ln w="9525">
                <a:solidFill>
                  <a:srgbClr val="924848"/>
                </a:solidFill>
              </a:ln>
              <a:effectLst/>
            </c:spPr>
          </c:marker>
          <c:trendline>
            <c:spPr>
              <a:ln w="25400" cap="rnd">
                <a:solidFill>
                  <a:srgbClr val="924848"/>
                </a:solidFill>
                <a:prstDash val="sysDot"/>
              </a:ln>
              <a:effectLst/>
            </c:spPr>
            <c:trendlineType val="linear"/>
            <c:dispRSqr val="1"/>
            <c:dispEq val="1"/>
            <c:trendlineLbl>
              <c:layout>
                <c:manualLayout>
                  <c:x val="8.8799874130175149E-2"/>
                  <c:y val="-6.0955197761019923E-2"/>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rgbClr val="924848"/>
                      </a:solidFill>
                      <a:latin typeface="+mn-lt"/>
                      <a:ea typeface="+mn-ea"/>
                      <a:cs typeface="+mn-cs"/>
                    </a:defRPr>
                  </a:pPr>
                  <a:endParaRPr lang="en-US"/>
                </a:p>
              </c:txPr>
            </c:trendlineLbl>
          </c:trendline>
          <c:xVal>
            <c:numRef>
              <c:f>'Task 1'!$L$17:$L$29</c:f>
              <c:numCache>
                <c:formatCode>General</c:formatCode>
                <c:ptCount val="13"/>
              </c:numCache>
            </c:numRef>
          </c:xVal>
          <c:yVal>
            <c:numRef>
              <c:f>'Task 1'!$M$17:$M$29</c:f>
              <c:numCache>
                <c:formatCode>General</c:formatCode>
                <c:ptCount val="13"/>
              </c:numCache>
            </c:numRef>
          </c:yVal>
          <c:smooth val="0"/>
          <c:extLst>
            <c:ext xmlns:c16="http://schemas.microsoft.com/office/drawing/2014/chart" uri="{C3380CC4-5D6E-409C-BE32-E72D297353CC}">
              <c16:uniqueId val="{00000001-8E1F-4B30-9863-FC565AB86B9A}"/>
            </c:ext>
          </c:extLst>
        </c:ser>
        <c:ser>
          <c:idx val="2"/>
          <c:order val="3"/>
          <c:tx>
            <c:strRef>
              <c:f>'Task 1'!$N$15</c:f>
              <c:strCache>
                <c:ptCount val="1"/>
                <c:pt idx="0">
                  <c:v>Giraffid</c:v>
                </c:pt>
              </c:strCache>
            </c:strRef>
          </c:tx>
          <c:spPr>
            <a:ln w="25400" cap="rnd">
              <a:noFill/>
              <a:round/>
            </a:ln>
            <a:effectLst/>
          </c:spPr>
          <c:marker>
            <c:symbol val="diamond"/>
            <c:size val="8"/>
            <c:spPr>
              <a:solidFill>
                <a:srgbClr val="FD9D3D"/>
              </a:solidFill>
              <a:ln w="9525">
                <a:solidFill>
                  <a:srgbClr val="FD9D3D"/>
                </a:solidFill>
              </a:ln>
              <a:effectLst/>
            </c:spPr>
          </c:marker>
          <c:trendline>
            <c:spPr>
              <a:ln w="25400" cap="rnd">
                <a:solidFill>
                  <a:srgbClr val="FD9D3D"/>
                </a:solidFill>
                <a:prstDash val="sysDot"/>
              </a:ln>
              <a:effectLst/>
            </c:spPr>
            <c:trendlineType val="linear"/>
            <c:dispRSqr val="1"/>
            <c:dispEq val="1"/>
            <c:trendlineLbl>
              <c:layout>
                <c:manualLayout>
                  <c:x val="6.6760496899740326E-2"/>
                  <c:y val="0.14783717869291499"/>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rgbClr val="FD9D3D"/>
                      </a:solidFill>
                      <a:latin typeface="+mn-lt"/>
                      <a:ea typeface="+mn-ea"/>
                      <a:cs typeface="+mn-cs"/>
                    </a:defRPr>
                  </a:pPr>
                  <a:endParaRPr lang="en-US"/>
                </a:p>
              </c:txPr>
            </c:trendlineLbl>
          </c:trendline>
          <c:xVal>
            <c:numRef>
              <c:f>'Task 1'!$N$17:$N$29</c:f>
              <c:numCache>
                <c:formatCode>General</c:formatCode>
                <c:ptCount val="13"/>
                <c:pt idx="1">
                  <c:v>270</c:v>
                </c:pt>
              </c:numCache>
            </c:numRef>
          </c:xVal>
          <c:yVal>
            <c:numRef>
              <c:f>'Task 1'!$O$17:$O$29</c:f>
              <c:numCache>
                <c:formatCode>General</c:formatCode>
                <c:ptCount val="13"/>
                <c:pt idx="1">
                  <c:v>19.100000000000001</c:v>
                </c:pt>
              </c:numCache>
            </c:numRef>
          </c:yVal>
          <c:smooth val="0"/>
          <c:extLst>
            <c:ext xmlns:c16="http://schemas.microsoft.com/office/drawing/2014/chart" uri="{C3380CC4-5D6E-409C-BE32-E72D297353CC}">
              <c16:uniqueId val="{00000002-8E1F-4B30-9863-FC565AB86B9A}"/>
            </c:ext>
          </c:extLst>
        </c:ser>
        <c:dLbls>
          <c:showLegendKey val="0"/>
          <c:showVal val="0"/>
          <c:showCatName val="0"/>
          <c:showSerName val="0"/>
          <c:showPercent val="0"/>
          <c:showBubbleSize val="0"/>
        </c:dLbls>
        <c:axId val="1823433295"/>
        <c:axId val="1997101407"/>
      </c:scatterChart>
      <c:valAx>
        <c:axId val="182343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Length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01407"/>
        <c:crosses val="autoZero"/>
        <c:crossBetween val="midCat"/>
      </c:valAx>
      <c:valAx>
        <c:axId val="199710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Breath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33295"/>
        <c:crosses val="autoZero"/>
        <c:crossBetween val="midCat"/>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'Task 2'!$D$5</c:f>
          <c:strCache>
            <c:ptCount val="1"/>
            <c:pt idx="0">
              <c:v>Team: [Type team #] - [Type team members names]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'Task 2'!$G$15:$G$22</c:f>
              <c:numCache>
                <c:formatCode>General</c:formatCode>
                <c:ptCount val="8"/>
                <c:pt idx="0">
                  <c:v>25</c:v>
                </c:pt>
                <c:pt idx="1">
                  <c:v>50</c:v>
                </c:pt>
                <c:pt idx="2">
                  <c:v>25</c:v>
                </c:pt>
                <c:pt idx="3">
                  <c:v>170</c:v>
                </c:pt>
                <c:pt idx="4">
                  <c:v>450</c:v>
                </c:pt>
                <c:pt idx="5">
                  <c:v>250</c:v>
                </c:pt>
                <c:pt idx="6">
                  <c:v>500</c:v>
                </c:pt>
                <c:pt idx="7">
                  <c:v>1000</c:v>
                </c:pt>
              </c:numCache>
            </c:numRef>
          </c:xVal>
          <c:yVal>
            <c:numRef>
              <c:f>'Task 2'!$H$15:$H$22</c:f>
              <c:numCache>
                <c:formatCode>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0-DCB6-4AD2-83D1-D359EA9027A2}"/>
            </c:ext>
          </c:extLst>
        </c:ser>
        <c:dLbls>
          <c:showLegendKey val="0"/>
          <c:showVal val="0"/>
          <c:showCatName val="0"/>
          <c:showSerName val="0"/>
          <c:showPercent val="0"/>
          <c:showBubbleSize val="0"/>
        </c:dLbls>
        <c:axId val="845090880"/>
        <c:axId val="860189120"/>
      </c:scatterChart>
      <c:valAx>
        <c:axId val="845090880"/>
        <c:scaling>
          <c:orientation val="minMax"/>
        </c:scaling>
        <c:delete val="0"/>
        <c:axPos val="b"/>
        <c:majorGridlines>
          <c:spPr>
            <a:ln w="9525" cap="flat" cmpd="sng" algn="ctr">
              <a:solidFill>
                <a:schemeClr val="tx1">
                  <a:lumMod val="15000"/>
                  <a:lumOff val="85000"/>
                </a:schemeClr>
              </a:solidFill>
              <a:round/>
            </a:ln>
            <a:effectLst/>
          </c:spPr>
        </c:majorGridlines>
        <c:title>
          <c:tx>
            <c:strRef>
              <c:f>'Task 2'!$G$14</c:f>
              <c:strCache>
                <c:ptCount val="1"/>
                <c:pt idx="0">
                  <c:v>Mass (kg)</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89120"/>
        <c:crosses val="autoZero"/>
        <c:crossBetween val="midCat"/>
      </c:valAx>
      <c:valAx>
        <c:axId val="860189120"/>
        <c:scaling>
          <c:orientation val="minMax"/>
        </c:scaling>
        <c:delete val="0"/>
        <c:axPos val="l"/>
        <c:majorGridlines>
          <c:spPr>
            <a:ln w="9525" cap="flat" cmpd="sng" algn="ctr">
              <a:solidFill>
                <a:schemeClr val="tx1">
                  <a:lumMod val="15000"/>
                  <a:lumOff val="85000"/>
                </a:schemeClr>
              </a:solidFill>
              <a:round/>
            </a:ln>
            <a:effectLst/>
          </c:spPr>
        </c:majorGridlines>
        <c:title>
          <c:tx>
            <c:strRef>
              <c:f>'Task 2'!$H$14</c:f>
              <c:strCache>
                <c:ptCount val="1"/>
                <c:pt idx="0">
                  <c:v>Area (mm²)</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90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'Task 2'!$D$5</c:f>
          <c:strCache>
            <c:ptCount val="1"/>
            <c:pt idx="0">
              <c:v>Team: [Type team #] - [Type team members names]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7"/>
            <c:spPr>
              <a:solidFill>
                <a:schemeClr val="accent1"/>
              </a:solidFill>
              <a:ln w="9525">
                <a:solidFill>
                  <a:schemeClr val="accent1"/>
                </a:solidFill>
              </a:ln>
              <a:effectLst/>
            </c:spPr>
          </c:marker>
          <c:trendline>
            <c:spPr>
              <a:ln w="2540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rendlineLbl>
          </c:trendline>
          <c:xVal>
            <c:numRef>
              <c:f>'Task 2'!$J$15:$J$22</c:f>
              <c:numCache>
                <c:formatCode>0.000</c:formatCode>
                <c:ptCount val="8"/>
                <c:pt idx="0">
                  <c:v>1.3979400086720377</c:v>
                </c:pt>
              </c:numCache>
            </c:numRef>
          </c:xVal>
          <c:yVal>
            <c:numRef>
              <c:f>'Task 2'!$K$15:$K$22</c:f>
              <c:numCache>
                <c:formatCode>0.000</c:formatCode>
                <c:ptCount val="8"/>
              </c:numCache>
            </c:numRef>
          </c:yVal>
          <c:smooth val="0"/>
          <c:extLst>
            <c:ext xmlns:c16="http://schemas.microsoft.com/office/drawing/2014/chart" uri="{C3380CC4-5D6E-409C-BE32-E72D297353CC}">
              <c16:uniqueId val="{00000000-0327-4938-AAC8-71B80708DF3A}"/>
            </c:ext>
          </c:extLst>
        </c:ser>
        <c:dLbls>
          <c:showLegendKey val="0"/>
          <c:showVal val="0"/>
          <c:showCatName val="0"/>
          <c:showSerName val="0"/>
          <c:showPercent val="0"/>
          <c:showBubbleSize val="0"/>
        </c:dLbls>
        <c:axId val="845083200"/>
        <c:axId val="860339968"/>
      </c:scatterChart>
      <c:valAx>
        <c:axId val="845083200"/>
        <c:scaling>
          <c:orientation val="minMax"/>
        </c:scaling>
        <c:delete val="0"/>
        <c:axPos val="b"/>
        <c:majorGridlines>
          <c:spPr>
            <a:ln w="9525" cap="flat" cmpd="sng" algn="ctr">
              <a:solidFill>
                <a:schemeClr val="tx1">
                  <a:lumMod val="15000"/>
                  <a:lumOff val="85000"/>
                </a:schemeClr>
              </a:solidFill>
              <a:round/>
            </a:ln>
            <a:effectLst/>
          </c:spPr>
        </c:majorGridlines>
        <c:title>
          <c:tx>
            <c:strRef>
              <c:f>'Task 2'!$J$14</c:f>
              <c:strCache>
                <c:ptCount val="1"/>
                <c:pt idx="0">
                  <c:v>Log10 mass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39968"/>
        <c:crosses val="autoZero"/>
        <c:crossBetween val="midCat"/>
      </c:valAx>
      <c:valAx>
        <c:axId val="860339968"/>
        <c:scaling>
          <c:orientation val="minMax"/>
        </c:scaling>
        <c:delete val="0"/>
        <c:axPos val="l"/>
        <c:majorGridlines>
          <c:spPr>
            <a:ln w="9525" cap="flat" cmpd="sng" algn="ctr">
              <a:solidFill>
                <a:schemeClr val="tx1">
                  <a:lumMod val="15000"/>
                  <a:lumOff val="85000"/>
                </a:schemeClr>
              </a:solidFill>
              <a:round/>
            </a:ln>
            <a:effectLst/>
          </c:spPr>
        </c:majorGridlines>
        <c:title>
          <c:tx>
            <c:strRef>
              <c:f>'Task 2'!$K$14</c:f>
              <c:strCache>
                <c:ptCount val="1"/>
                <c:pt idx="0">
                  <c:v>Log10 area</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83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171449</xdr:colOff>
      <xdr:row>35</xdr:row>
      <xdr:rowOff>61910</xdr:rowOff>
    </xdr:from>
    <xdr:to>
      <xdr:col>8</xdr:col>
      <xdr:colOff>1390650</xdr:colOff>
      <xdr:row>59</xdr:row>
      <xdr:rowOff>38099</xdr:rowOff>
    </xdr:to>
    <xdr:graphicFrame macro="">
      <xdr:nvGraphicFramePr>
        <xdr:cNvPr id="7" name="Graphique 6">
          <a:extLst>
            <a:ext uri="{FF2B5EF4-FFF2-40B4-BE49-F238E27FC236}">
              <a16:creationId xmlns:a16="http://schemas.microsoft.com/office/drawing/2014/main" id="{E3DDED3B-F082-444A-7C9F-FE563DC5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790575</xdr:colOff>
      <xdr:row>29</xdr:row>
      <xdr:rowOff>80961</xdr:rowOff>
    </xdr:from>
    <xdr:to>
      <xdr:col>7</xdr:col>
      <xdr:colOff>238125</xdr:colOff>
      <xdr:row>49</xdr:row>
      <xdr:rowOff>161925</xdr:rowOff>
    </xdr:to>
    <xdr:graphicFrame macro="">
      <xdr:nvGraphicFramePr>
        <xdr:cNvPr id="2" name="Chart 1">
          <a:extLst>
            <a:ext uri="{FF2B5EF4-FFF2-40B4-BE49-F238E27FC236}">
              <a16:creationId xmlns:a16="http://schemas.microsoft.com/office/drawing/2014/main" id="{0EE1F7A9-91C5-07D3-A20E-E0DDB0BFA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30</xdr:row>
      <xdr:rowOff>100011</xdr:rowOff>
    </xdr:from>
    <xdr:to>
      <xdr:col>17</xdr:col>
      <xdr:colOff>0</xdr:colOff>
      <xdr:row>50</xdr:row>
      <xdr:rowOff>57150</xdr:rowOff>
    </xdr:to>
    <xdr:graphicFrame macro="">
      <xdr:nvGraphicFramePr>
        <xdr:cNvPr id="3" name="Chart 2">
          <a:extLst>
            <a:ext uri="{FF2B5EF4-FFF2-40B4-BE49-F238E27FC236}">
              <a16:creationId xmlns:a16="http://schemas.microsoft.com/office/drawing/2014/main" id="{9710CB41-C641-3046-94BB-6F444DBA1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ine Gillet" refreshedDate="45259.446483449072" createdVersion="8" refreshedVersion="8" minRefreshableVersion="3" recordCount="13" xr:uid="{AFC28B0C-8BB2-4C5A-B928-F42555491071}">
  <cacheSource type="worksheet">
    <worksheetSource name="Tableau1"/>
  </cacheSource>
  <cacheFields count="6">
    <cacheField name="Group" numFmtId="0">
      <sharedItems containsBlank="1" count="4">
        <m/>
        <s v="Giraffid"/>
        <s v="Bovid" u="1"/>
        <s v="Cervid" u="1"/>
      </sharedItems>
    </cacheField>
    <cacheField name="Common name" numFmtId="0">
      <sharedItems count="13">
        <s v="Small sheep"/>
        <s v="Large sheep"/>
        <s v="Roe deer"/>
        <s v="Red deer"/>
        <s v="Moose"/>
        <s v="Small cattle"/>
        <s v="Large cattle"/>
        <s v="Giraffe"/>
        <s v="Giraffe 2"/>
        <s v="Forest Giraffe"/>
        <s v="Bohlinia (extinct)"/>
        <s v="Paleotragus (extinct)"/>
        <s v="Canthumeryx (extinct)"/>
      </sharedItems>
    </cacheField>
    <cacheField name="Species" numFmtId="0">
      <sharedItems/>
    </cacheField>
    <cacheField name="Specimen number" numFmtId="0">
      <sharedItems containsBlank="1"/>
    </cacheField>
    <cacheField name="Length (mm)" numFmtId="0">
      <sharedItems containsString="0" containsBlank="1" containsNumber="1" containsInteger="1" minValue="270" maxValue="270"/>
    </cacheField>
    <cacheField name="Breadth (mm)" numFmtId="0">
      <sharedItems containsString="0" containsBlank="1" containsNumber="1" minValue="19.100000000000001" maxValue="19.10000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s v="Ovis aries"/>
    <m/>
    <m/>
    <m/>
  </r>
  <r>
    <x v="0"/>
    <x v="1"/>
    <s v="Ovis aries"/>
    <m/>
    <m/>
    <m/>
  </r>
  <r>
    <x v="0"/>
    <x v="2"/>
    <s v="Capreolus capreolus"/>
    <m/>
    <m/>
    <m/>
  </r>
  <r>
    <x v="0"/>
    <x v="3"/>
    <s v="Cervus elaphus"/>
    <m/>
    <m/>
    <m/>
  </r>
  <r>
    <x v="0"/>
    <x v="4"/>
    <s v="Alces alces"/>
    <m/>
    <m/>
    <m/>
  </r>
  <r>
    <x v="0"/>
    <x v="5"/>
    <s v="Bos taurus"/>
    <m/>
    <m/>
    <m/>
  </r>
  <r>
    <x v="0"/>
    <x v="6"/>
    <s v="Bos taurus"/>
    <m/>
    <m/>
    <m/>
  </r>
  <r>
    <x v="0"/>
    <x v="7"/>
    <s v="Giraffa camelopardalis"/>
    <m/>
    <m/>
    <m/>
  </r>
  <r>
    <x v="0"/>
    <x v="8"/>
    <s v="Giraffa camelopardalis B"/>
    <s v="From Rios et al."/>
    <m/>
    <m/>
  </r>
  <r>
    <x v="0"/>
    <x v="9"/>
    <s v="Okapia johnstoni"/>
    <s v="From Rios et al."/>
    <m/>
    <m/>
  </r>
  <r>
    <x v="0"/>
    <x v="10"/>
    <s v="Bohlinia attica"/>
    <s v="From Rios et al."/>
    <m/>
    <m/>
  </r>
  <r>
    <x v="0"/>
    <x v="11"/>
    <s v="Palaeotragus rouenii"/>
    <s v="From Rios et al."/>
    <m/>
    <m/>
  </r>
  <r>
    <x v="1"/>
    <x v="12"/>
    <s v="Canthumeryx sirtensis"/>
    <s v="From Rios et al."/>
    <n v="270"/>
    <n v="19.1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CD7081-EA12-4785-98EA-CADE789B435E}" name="PivoTable1" cacheId="5" applyNumberFormats="0" applyBorderFormats="0" applyFontFormats="0" applyPatternFormats="0" applyAlignmentFormats="0" applyWidthHeightFormats="1" dataCaption="Valeurs" updatedVersion="8" minRefreshableVersion="3" rowGrandTotals="0" colGrandTotals="0" itemPrintTitles="1" createdVersion="8" indent="0" compact="0" compactData="0" multipleFieldFilters="0">
  <location ref="I14:Q29" firstHeaderRow="1" firstDataRow="3" firstDataCol="1"/>
  <pivotFields count="6">
    <pivotField axis="axisCol" compact="0" outline="0" defaultSubtotal="0">
      <items count="4">
        <item m="1" x="2"/>
        <item m="1" x="3"/>
        <item x="1"/>
        <item x="0"/>
      </items>
    </pivotField>
    <pivotField axis="axisRow" compact="0" outline="0" showAll="0" sortType="ascending" defaultSubtotal="0">
      <items count="13">
        <item x="10"/>
        <item x="12"/>
        <item x="9"/>
        <item x="7"/>
        <item x="8"/>
        <item x="6"/>
        <item x="1"/>
        <item x="4"/>
        <item x="11"/>
        <item x="3"/>
        <item x="2"/>
        <item x="5"/>
        <item x="0"/>
      </items>
    </pivotField>
    <pivotField compact="0" outline="0" showAll="0" defaultSubtotal="0"/>
    <pivotField compact="0" outline="0" showAll="0" defaultSubtotal="0"/>
    <pivotField dataField="1" compact="0" outline="0" showAll="0" defaultSubtotal="0"/>
    <pivotField dataField="1" compact="0" outline="0" showAll="0" defaultSubtotal="0"/>
  </pivotFields>
  <rowFields count="1">
    <field x="1"/>
  </rowFields>
  <rowItems count="13">
    <i>
      <x/>
    </i>
    <i>
      <x v="1"/>
    </i>
    <i>
      <x v="2"/>
    </i>
    <i>
      <x v="3"/>
    </i>
    <i>
      <x v="4"/>
    </i>
    <i>
      <x v="5"/>
    </i>
    <i>
      <x v="6"/>
    </i>
    <i>
      <x v="7"/>
    </i>
    <i>
      <x v="8"/>
    </i>
    <i>
      <x v="9"/>
    </i>
    <i>
      <x v="10"/>
    </i>
    <i>
      <x v="11"/>
    </i>
    <i>
      <x v="12"/>
    </i>
  </rowItems>
  <colFields count="2">
    <field x="0"/>
    <field x="-2"/>
  </colFields>
  <colItems count="8">
    <i>
      <x/>
      <x/>
    </i>
    <i r="1" i="1">
      <x v="1"/>
    </i>
    <i>
      <x v="1"/>
      <x/>
    </i>
    <i r="1" i="1">
      <x v="1"/>
    </i>
    <i>
      <x v="2"/>
      <x/>
    </i>
    <i r="1" i="1">
      <x v="1"/>
    </i>
    <i>
      <x v="3"/>
      <x/>
    </i>
    <i r="1" i="1">
      <x v="1"/>
    </i>
  </colItems>
  <dataFields count="2">
    <dataField name="Sum of Length (mm)" fld="4" baseField="0" baseItem="0"/>
    <dataField name="Sum of Breadth (mm)" fld="5" baseField="0" baseItem="0"/>
  </dataFields>
  <formats count="12">
    <format dxfId="15">
      <pivotArea type="all" dataOnly="0" outline="0" fieldPosition="0"/>
    </format>
    <format dxfId="14">
      <pivotArea dataOnly="0" labelOnly="1" fieldPosition="0">
        <references count="1">
          <reference field="0" count="0"/>
        </references>
      </pivotArea>
    </format>
    <format dxfId="13">
      <pivotArea type="origin" dataOnly="0" labelOnly="1" outline="0" fieldPosition="0"/>
    </format>
    <format dxfId="12">
      <pivotArea field="0" type="button" dataOnly="0" labelOnly="1" outline="0" axis="axisCol" fieldPosition="0"/>
    </format>
    <format dxfId="11">
      <pivotArea field="-2" type="button" dataOnly="0" labelOnly="1" outline="0" axis="axisCol" fieldPosition="1"/>
    </format>
    <format dxfId="10">
      <pivotArea type="topRight" dataOnly="0" labelOnly="1" outline="0" fieldPosition="0"/>
    </format>
    <format dxfId="9">
      <pivotArea field="1" type="button" dataOnly="0" labelOnly="1" outline="0" axis="axisRow" fieldPosition="0"/>
    </format>
    <format dxfId="8">
      <pivotArea dataOnly="0" labelOnly="1" outline="0" fieldPosition="0">
        <references count="1">
          <reference field="0" count="0"/>
        </references>
      </pivotArea>
    </format>
    <format dxfId="7">
      <pivotArea dataOnly="0" labelOnly="1" outline="0" fieldPosition="0">
        <references count="2">
          <reference field="4294967294" count="2">
            <x v="0"/>
            <x v="1"/>
          </reference>
          <reference field="0" count="1" selected="0">
            <x v="0"/>
          </reference>
        </references>
      </pivotArea>
    </format>
    <format dxfId="6">
      <pivotArea dataOnly="0" labelOnly="1" outline="0" fieldPosition="0">
        <references count="2">
          <reference field="4294967294" count="2">
            <x v="0"/>
            <x v="1"/>
          </reference>
          <reference field="0" count="1" selected="0">
            <x v="1"/>
          </reference>
        </references>
      </pivotArea>
    </format>
    <format dxfId="5">
      <pivotArea dataOnly="0" labelOnly="1" outline="0" fieldPosition="0">
        <references count="2">
          <reference field="4294967294" count="2">
            <x v="0"/>
            <x v="1"/>
          </reference>
          <reference field="0" count="1" selected="0">
            <x v="2"/>
          </reference>
        </references>
      </pivotArea>
    </format>
    <format dxfId="4">
      <pivotArea dataOnly="0" labelOnly="1" outline="0" fieldPosition="0">
        <references count="2">
          <reference field="4294967294" count="2">
            <x v="0"/>
            <x v="1"/>
          </reference>
          <reference field="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3116BC-31F1-4AC9-A7CA-0657AB132385}" name="Tableau1" displayName="Tableau1" ref="A14:F27" totalsRowShown="0" headerRowDxfId="3" headerRowBorderDxfId="2" tableBorderDxfId="1">
  <autoFilter ref="A14:F27" xr:uid="{DB3116BC-31F1-4AC9-A7CA-0657AB132385}"/>
  <tableColumns count="6">
    <tableColumn id="1" xr3:uid="{845A15C6-E4FF-4966-83E6-42A6B2355F4A}" name="Group"/>
    <tableColumn id="2" xr3:uid="{4EB96322-0657-4B3B-8A59-12CE57879FE8}" name="Common name"/>
    <tableColumn id="3" xr3:uid="{CB857181-04B5-481A-914F-0EA7D801D8AD}" name="Species" dataDxfId="0"/>
    <tableColumn id="4" xr3:uid="{AA8BF1B7-A5BE-4062-902A-162BE6EC1F75}" name="Specimen number"/>
    <tableColumn id="5" xr3:uid="{B20318E2-9F07-4B6C-9FC5-BF2F9C920113}" name="Length (mm)"/>
    <tableColumn id="6" xr3:uid="{DA4E46A0-3C2C-473E-A753-3C1FBC76BEC8}" name="Breadth (mm)"/>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8ADE-1919-4842-9480-4AFCFEB46B1D}">
  <sheetPr>
    <tabColor theme="5" tint="0.59999389629810485"/>
  </sheetPr>
  <dimension ref="A1:W76"/>
  <sheetViews>
    <sheetView tabSelected="1" workbookViewId="0">
      <selection activeCell="B5" sqref="B5"/>
    </sheetView>
  </sheetViews>
  <sheetFormatPr defaultColWidth="11.42578125" defaultRowHeight="15" x14ac:dyDescent="0.25"/>
  <cols>
    <col min="1" max="1" width="15.42578125" customWidth="1"/>
    <col min="2" max="2" width="22.42578125" customWidth="1"/>
    <col min="3" max="3" width="27.42578125" bestFit="1" customWidth="1"/>
    <col min="4" max="4" width="19.28515625" customWidth="1"/>
    <col min="5" max="5" width="14.42578125" customWidth="1"/>
    <col min="6" max="6" width="15.42578125" customWidth="1"/>
    <col min="8" max="8" width="11.42578125" customWidth="1"/>
    <col min="9" max="9" width="21.140625" bestFit="1" customWidth="1"/>
    <col min="10" max="10" width="19.140625" bestFit="1" customWidth="1"/>
    <col min="11" max="11" width="20.140625" bestFit="1" customWidth="1"/>
    <col min="12" max="12" width="19.140625" bestFit="1" customWidth="1"/>
    <col min="13" max="13" width="20.140625" bestFit="1" customWidth="1"/>
    <col min="14" max="14" width="19.140625" bestFit="1" customWidth="1"/>
    <col min="15" max="15" width="20.140625" bestFit="1" customWidth="1"/>
    <col min="16" max="17" width="20.42578125" customWidth="1"/>
    <col min="18" max="18" width="11.42578125" customWidth="1"/>
    <col min="19" max="19" width="9.5703125" bestFit="1" customWidth="1"/>
    <col min="20" max="20" width="19.42578125" bestFit="1" customWidth="1"/>
    <col min="21" max="21" width="23.42578125" bestFit="1" customWidth="1"/>
    <col min="22" max="22" width="13.5703125" bestFit="1" customWidth="1"/>
    <col min="23" max="23" width="10.140625" bestFit="1" customWidth="1"/>
    <col min="24" max="24" width="20.85546875" bestFit="1" customWidth="1"/>
    <col min="25" max="25" width="19" bestFit="1" customWidth="1"/>
    <col min="26" max="26" width="14.42578125" bestFit="1" customWidth="1"/>
    <col min="27" max="27" width="21.28515625" bestFit="1" customWidth="1"/>
    <col min="28" max="28" width="16.140625" bestFit="1" customWidth="1"/>
    <col min="29" max="29" width="9.5703125" bestFit="1" customWidth="1"/>
    <col min="30" max="30" width="19.42578125" bestFit="1" customWidth="1"/>
    <col min="31" max="31" width="27.42578125" bestFit="1" customWidth="1"/>
    <col min="32" max="32" width="28.42578125" bestFit="1" customWidth="1"/>
  </cols>
  <sheetData>
    <row r="1" spans="1:23" s="33" customFormat="1" ht="26.25" customHeight="1" x14ac:dyDescent="0.3">
      <c r="A1" s="36" t="s">
        <v>55</v>
      </c>
      <c r="B1" s="36"/>
      <c r="C1" s="36"/>
      <c r="D1" s="36"/>
      <c r="E1" s="36"/>
      <c r="F1" s="36"/>
      <c r="G1" s="36"/>
      <c r="H1" s="36"/>
      <c r="I1" s="36"/>
      <c r="J1" s="36"/>
      <c r="K1" s="36"/>
      <c r="L1" s="36"/>
      <c r="M1" s="36"/>
      <c r="N1" s="36"/>
      <c r="O1" s="36"/>
      <c r="P1" s="36"/>
      <c r="Q1" s="36"/>
      <c r="R1" s="36"/>
      <c r="S1" s="32"/>
      <c r="T1" s="32"/>
      <c r="U1" s="32"/>
      <c r="V1" s="32"/>
      <c r="W1" s="32"/>
    </row>
    <row r="2" spans="1:23" ht="22.5" customHeight="1" x14ac:dyDescent="0.25">
      <c r="B2" s="39" t="s">
        <v>3</v>
      </c>
      <c r="C2" s="39"/>
      <c r="D2" s="39"/>
      <c r="E2" s="39"/>
      <c r="F2" s="39"/>
      <c r="G2" s="39"/>
    </row>
    <row r="4" spans="1:23" x14ac:dyDescent="0.25">
      <c r="A4" s="4"/>
      <c r="B4" s="4" t="s">
        <v>1</v>
      </c>
      <c r="C4" s="4" t="s">
        <v>2</v>
      </c>
    </row>
    <row r="5" spans="1:23" x14ac:dyDescent="0.25">
      <c r="A5" s="4" t="s">
        <v>0</v>
      </c>
      <c r="B5" s="34" t="s">
        <v>4</v>
      </c>
      <c r="C5" s="34" t="s">
        <v>72</v>
      </c>
      <c r="D5" s="3" t="str">
        <f>_xlfn.CONCAT(A5," ",B5," - ",C5)</f>
        <v>Team: [Type team #] - [Type team members names]</v>
      </c>
    </row>
    <row r="6" spans="1:23" x14ac:dyDescent="0.25">
      <c r="B6" s="1"/>
      <c r="C6" s="1"/>
    </row>
    <row r="7" spans="1:23" ht="15.75" customHeight="1" x14ac:dyDescent="0.25">
      <c r="A7" s="38" t="s">
        <v>52</v>
      </c>
      <c r="B7" s="38"/>
      <c r="C7" s="38"/>
      <c r="D7" s="38"/>
      <c r="E7" s="38"/>
      <c r="F7" s="38"/>
    </row>
    <row r="8" spans="1:23" x14ac:dyDescent="0.25">
      <c r="A8" s="38"/>
      <c r="B8" s="38"/>
      <c r="C8" s="38"/>
      <c r="D8" s="38"/>
      <c r="E8" s="38"/>
      <c r="F8" s="38"/>
    </row>
    <row r="9" spans="1:23" x14ac:dyDescent="0.25">
      <c r="A9" s="37" t="s">
        <v>5</v>
      </c>
      <c r="B9" s="37"/>
      <c r="C9" s="37"/>
      <c r="D9" s="37"/>
      <c r="E9" s="37"/>
      <c r="F9" s="37"/>
    </row>
    <row r="10" spans="1:23" ht="15" customHeight="1" x14ac:dyDescent="0.25">
      <c r="A10" s="35" t="s">
        <v>46</v>
      </c>
      <c r="B10" s="35"/>
      <c r="C10" s="35"/>
      <c r="D10" s="35"/>
      <c r="E10" s="35"/>
      <c r="F10" s="35"/>
      <c r="I10" s="38" t="s">
        <v>53</v>
      </c>
      <c r="J10" s="38"/>
      <c r="K10" s="38"/>
      <c r="L10" s="38"/>
      <c r="M10" s="38"/>
      <c r="N10" s="38"/>
      <c r="O10" s="38"/>
    </row>
    <row r="11" spans="1:23" x14ac:dyDescent="0.25">
      <c r="A11" s="35"/>
      <c r="B11" s="35"/>
      <c r="C11" s="35"/>
      <c r="D11" s="35"/>
      <c r="E11" s="35"/>
      <c r="F11" s="35"/>
      <c r="I11" s="38"/>
      <c r="J11" s="38"/>
      <c r="K11" s="38"/>
      <c r="L11" s="38"/>
      <c r="M11" s="38"/>
      <c r="N11" s="38"/>
      <c r="O11" s="38"/>
    </row>
    <row r="12" spans="1:23" x14ac:dyDescent="0.25">
      <c r="A12" s="35"/>
      <c r="B12" s="35"/>
      <c r="C12" s="35"/>
      <c r="D12" s="35"/>
      <c r="E12" s="35"/>
      <c r="F12" s="35"/>
      <c r="I12" s="41" t="s">
        <v>51</v>
      </c>
      <c r="J12" s="41"/>
      <c r="K12" s="41"/>
      <c r="L12" s="41"/>
      <c r="M12" s="41"/>
      <c r="N12" s="41"/>
      <c r="O12" s="41"/>
    </row>
    <row r="13" spans="1:23" x14ac:dyDescent="0.25">
      <c r="A13" s="40"/>
      <c r="B13" s="40"/>
      <c r="C13" s="40"/>
      <c r="D13" s="40"/>
      <c r="E13" s="40"/>
      <c r="F13" s="40"/>
      <c r="I13" s="41"/>
      <c r="J13" s="41"/>
      <c r="K13" s="41"/>
      <c r="L13" s="41"/>
      <c r="M13" s="41"/>
      <c r="N13" s="41"/>
      <c r="O13" s="41"/>
    </row>
    <row r="14" spans="1:23" x14ac:dyDescent="0.25">
      <c r="A14" s="6" t="s">
        <v>6</v>
      </c>
      <c r="B14" s="6" t="s">
        <v>7</v>
      </c>
      <c r="C14" s="6" t="s">
        <v>8</v>
      </c>
      <c r="D14" s="6" t="s">
        <v>9</v>
      </c>
      <c r="E14" s="6" t="s">
        <v>10</v>
      </c>
      <c r="F14" s="6" t="s">
        <v>11</v>
      </c>
      <c r="H14" s="8"/>
      <c r="I14" s="8"/>
      <c r="J14" s="9" t="s">
        <v>6</v>
      </c>
      <c r="K14" s="9" t="s">
        <v>47</v>
      </c>
      <c r="L14" s="8"/>
      <c r="M14" s="8"/>
      <c r="N14" s="8"/>
      <c r="O14" s="8"/>
      <c r="P14" s="8"/>
      <c r="Q14" s="8"/>
      <c r="R14" s="12"/>
    </row>
    <row r="15" spans="1:23" x14ac:dyDescent="0.25">
      <c r="B15" t="s">
        <v>13</v>
      </c>
      <c r="C15" s="5" t="s">
        <v>14</v>
      </c>
      <c r="H15" s="8"/>
      <c r="I15" s="8"/>
      <c r="J15" s="8" t="s">
        <v>12</v>
      </c>
      <c r="K15" s="8"/>
      <c r="L15" s="8" t="s">
        <v>16</v>
      </c>
      <c r="M15" s="8"/>
      <c r="N15" s="8" t="s">
        <v>26</v>
      </c>
      <c r="O15" s="8"/>
      <c r="P15" s="8" t="s">
        <v>45</v>
      </c>
      <c r="Q15" s="8"/>
      <c r="R15" s="12"/>
    </row>
    <row r="16" spans="1:23" x14ac:dyDescent="0.25">
      <c r="B16" t="s">
        <v>15</v>
      </c>
      <c r="C16" s="5" t="s">
        <v>14</v>
      </c>
      <c r="H16" s="8"/>
      <c r="I16" s="9" t="s">
        <v>7</v>
      </c>
      <c r="J16" s="8" t="s">
        <v>42</v>
      </c>
      <c r="K16" s="8" t="s">
        <v>43</v>
      </c>
      <c r="L16" s="8" t="s">
        <v>42</v>
      </c>
      <c r="M16" s="8" t="s">
        <v>43</v>
      </c>
      <c r="N16" s="8" t="s">
        <v>42</v>
      </c>
      <c r="O16" s="8" t="s">
        <v>43</v>
      </c>
      <c r="P16" s="8" t="s">
        <v>42</v>
      </c>
      <c r="Q16" s="8" t="s">
        <v>43</v>
      </c>
      <c r="R16" s="12"/>
    </row>
    <row r="17" spans="1:17" x14ac:dyDescent="0.25">
      <c r="B17" t="s">
        <v>17</v>
      </c>
      <c r="C17" s="5" t="s">
        <v>18</v>
      </c>
      <c r="I17" s="3" t="s">
        <v>37</v>
      </c>
      <c r="J17" s="3"/>
      <c r="K17" s="3"/>
      <c r="L17" s="3"/>
      <c r="M17" s="3"/>
      <c r="N17" s="3"/>
      <c r="O17" s="3"/>
      <c r="P17" s="3"/>
      <c r="Q17" s="3"/>
    </row>
    <row r="18" spans="1:17" x14ac:dyDescent="0.25">
      <c r="B18" t="s">
        <v>19</v>
      </c>
      <c r="C18" s="5" t="s">
        <v>20</v>
      </c>
      <c r="I18" s="3" t="s">
        <v>38</v>
      </c>
      <c r="J18" s="3"/>
      <c r="K18" s="3"/>
      <c r="L18" s="3"/>
      <c r="M18" s="3"/>
      <c r="N18" s="3">
        <v>270</v>
      </c>
      <c r="O18" s="3">
        <v>19.100000000000001</v>
      </c>
      <c r="P18" s="3"/>
      <c r="Q18" s="3"/>
    </row>
    <row r="19" spans="1:17" x14ac:dyDescent="0.25">
      <c r="B19" t="s">
        <v>21</v>
      </c>
      <c r="C19" s="5" t="s">
        <v>22</v>
      </c>
      <c r="I19" s="3" t="s">
        <v>29</v>
      </c>
      <c r="J19" s="3"/>
      <c r="K19" s="3"/>
      <c r="L19" s="3"/>
      <c r="M19" s="3"/>
      <c r="N19" s="3"/>
      <c r="O19" s="3"/>
      <c r="P19" s="3"/>
      <c r="Q19" s="3"/>
    </row>
    <row r="20" spans="1:17" x14ac:dyDescent="0.25">
      <c r="B20" t="s">
        <v>23</v>
      </c>
      <c r="C20" s="5" t="s">
        <v>24</v>
      </c>
      <c r="I20" s="3" t="s">
        <v>27</v>
      </c>
      <c r="J20" s="3"/>
      <c r="K20" s="3"/>
      <c r="L20" s="3"/>
      <c r="M20" s="3"/>
      <c r="N20" s="3"/>
      <c r="O20" s="3"/>
      <c r="P20" s="3"/>
      <c r="Q20" s="3"/>
    </row>
    <row r="21" spans="1:17" x14ac:dyDescent="0.25">
      <c r="B21" t="s">
        <v>25</v>
      </c>
      <c r="C21" s="5" t="s">
        <v>24</v>
      </c>
      <c r="I21" s="3" t="s">
        <v>41</v>
      </c>
      <c r="J21" s="3"/>
      <c r="K21" s="3"/>
      <c r="L21" s="3"/>
      <c r="M21" s="3"/>
      <c r="N21" s="3"/>
      <c r="O21" s="3"/>
      <c r="P21" s="3"/>
      <c r="Q21" s="3"/>
    </row>
    <row r="22" spans="1:17" x14ac:dyDescent="0.25">
      <c r="B22" t="s">
        <v>27</v>
      </c>
      <c r="C22" s="5" t="s">
        <v>28</v>
      </c>
      <c r="I22" s="3" t="s">
        <v>25</v>
      </c>
      <c r="J22" s="3"/>
      <c r="K22" s="3"/>
      <c r="L22" s="3"/>
      <c r="M22" s="3"/>
      <c r="N22" s="3"/>
      <c r="O22" s="3"/>
      <c r="P22" s="3"/>
      <c r="Q22" s="3"/>
    </row>
    <row r="23" spans="1:17" x14ac:dyDescent="0.25">
      <c r="B23" t="s">
        <v>44</v>
      </c>
      <c r="C23" s="5" t="s">
        <v>40</v>
      </c>
      <c r="D23" s="10" t="s">
        <v>49</v>
      </c>
      <c r="G23" s="10"/>
      <c r="I23" s="3" t="s">
        <v>15</v>
      </c>
      <c r="J23" s="3"/>
      <c r="K23" s="3"/>
      <c r="L23" s="3"/>
      <c r="M23" s="3"/>
      <c r="N23" s="3"/>
      <c r="O23" s="3"/>
      <c r="P23" s="3"/>
      <c r="Q23" s="3"/>
    </row>
    <row r="24" spans="1:17" x14ac:dyDescent="0.25">
      <c r="B24" t="s">
        <v>29</v>
      </c>
      <c r="C24" s="5" t="s">
        <v>30</v>
      </c>
      <c r="D24" s="10" t="s">
        <v>49</v>
      </c>
      <c r="G24" s="10"/>
      <c r="I24" s="3" t="s">
        <v>21</v>
      </c>
      <c r="J24" s="3"/>
      <c r="K24" s="3"/>
      <c r="L24" s="3"/>
      <c r="M24" s="3"/>
      <c r="N24" s="3"/>
      <c r="O24" s="3"/>
      <c r="P24" s="3"/>
      <c r="Q24" s="3"/>
    </row>
    <row r="25" spans="1:17" x14ac:dyDescent="0.25">
      <c r="B25" t="s">
        <v>34</v>
      </c>
      <c r="C25" s="5" t="s">
        <v>31</v>
      </c>
      <c r="D25" s="10" t="s">
        <v>49</v>
      </c>
      <c r="G25" s="10"/>
      <c r="I25" s="3" t="s">
        <v>39</v>
      </c>
      <c r="J25" s="3"/>
      <c r="K25" s="3"/>
      <c r="L25" s="3"/>
      <c r="M25" s="3"/>
      <c r="N25" s="3"/>
      <c r="O25" s="3"/>
      <c r="P25" s="3"/>
      <c r="Q25" s="3"/>
    </row>
    <row r="26" spans="1:17" x14ac:dyDescent="0.25">
      <c r="B26" t="s">
        <v>35</v>
      </c>
      <c r="C26" s="5" t="s">
        <v>32</v>
      </c>
      <c r="D26" s="10" t="s">
        <v>49</v>
      </c>
      <c r="G26" s="10"/>
      <c r="I26" s="3" t="s">
        <v>19</v>
      </c>
      <c r="J26" s="3"/>
      <c r="K26" s="3"/>
      <c r="L26" s="3"/>
      <c r="M26" s="3"/>
      <c r="N26" s="3"/>
      <c r="O26" s="3"/>
      <c r="P26" s="3"/>
      <c r="Q26" s="3"/>
    </row>
    <row r="27" spans="1:17" x14ac:dyDescent="0.25">
      <c r="A27" t="s">
        <v>26</v>
      </c>
      <c r="B27" t="s">
        <v>36</v>
      </c>
      <c r="C27" s="5" t="s">
        <v>33</v>
      </c>
      <c r="D27" s="11" t="s">
        <v>49</v>
      </c>
      <c r="E27">
        <v>270</v>
      </c>
      <c r="F27">
        <v>19.100000000000001</v>
      </c>
      <c r="G27" s="7" t="s">
        <v>50</v>
      </c>
      <c r="I27" s="3" t="s">
        <v>17</v>
      </c>
      <c r="J27" s="3"/>
      <c r="K27" s="3"/>
      <c r="L27" s="3"/>
      <c r="M27" s="3"/>
      <c r="N27" s="3"/>
      <c r="O27" s="3"/>
      <c r="P27" s="3"/>
      <c r="Q27" s="3"/>
    </row>
    <row r="28" spans="1:17" x14ac:dyDescent="0.25">
      <c r="I28" s="3" t="s">
        <v>23</v>
      </c>
      <c r="J28" s="3"/>
      <c r="K28" s="3"/>
      <c r="L28" s="3"/>
      <c r="M28" s="3"/>
      <c r="N28" s="3"/>
      <c r="O28" s="3"/>
      <c r="P28" s="3"/>
      <c r="Q28" s="3"/>
    </row>
    <row r="29" spans="1:17" x14ac:dyDescent="0.25">
      <c r="I29" s="3" t="s">
        <v>13</v>
      </c>
      <c r="J29" s="3"/>
      <c r="K29" s="3"/>
      <c r="L29" s="3"/>
      <c r="M29" s="3"/>
      <c r="N29" s="3"/>
      <c r="O29" s="3"/>
      <c r="P29" s="3"/>
      <c r="Q29" s="3"/>
    </row>
    <row r="30" spans="1:17" ht="15.75" customHeight="1" x14ac:dyDescent="0.25">
      <c r="A30" s="38" t="s">
        <v>54</v>
      </c>
      <c r="B30" s="38"/>
      <c r="C30" s="38"/>
      <c r="D30" s="38"/>
      <c r="E30" s="38"/>
      <c r="F30" s="38"/>
      <c r="G30" s="38"/>
      <c r="H30" s="38"/>
      <c r="I30" s="38"/>
      <c r="J30" s="3"/>
      <c r="K30" s="3"/>
      <c r="L30" s="3"/>
      <c r="M30" s="3"/>
      <c r="N30" s="3"/>
      <c r="O30" s="3"/>
      <c r="P30" s="3"/>
      <c r="Q30" s="3"/>
    </row>
    <row r="31" spans="1:17" x14ac:dyDescent="0.25">
      <c r="A31" s="38"/>
      <c r="B31" s="38"/>
      <c r="C31" s="38"/>
      <c r="D31" s="38"/>
      <c r="E31" s="38"/>
      <c r="F31" s="38"/>
      <c r="G31" s="38"/>
      <c r="H31" s="38"/>
      <c r="I31" s="38"/>
    </row>
    <row r="32" spans="1:17" x14ac:dyDescent="0.25">
      <c r="A32" s="37" t="s">
        <v>48</v>
      </c>
      <c r="B32" s="37"/>
      <c r="C32" s="37"/>
      <c r="D32" s="37"/>
      <c r="E32" s="37"/>
      <c r="F32" s="37"/>
      <c r="G32" s="37"/>
      <c r="H32" s="37"/>
      <c r="I32" s="37"/>
    </row>
    <row r="33" spans="1:9" x14ac:dyDescent="0.25">
      <c r="A33" s="35" t="s">
        <v>68</v>
      </c>
      <c r="B33" s="35"/>
      <c r="C33" s="35"/>
      <c r="D33" s="35"/>
      <c r="E33" s="35"/>
      <c r="F33" s="35"/>
      <c r="G33" s="35"/>
      <c r="H33" s="35"/>
      <c r="I33" s="35"/>
    </row>
    <row r="34" spans="1:9" x14ac:dyDescent="0.25">
      <c r="A34" s="35"/>
      <c r="B34" s="35"/>
      <c r="C34" s="35"/>
      <c r="D34" s="35"/>
      <c r="E34" s="35"/>
      <c r="F34" s="35"/>
      <c r="G34" s="35"/>
      <c r="H34" s="35"/>
      <c r="I34" s="35"/>
    </row>
    <row r="35" spans="1:9" x14ac:dyDescent="0.25">
      <c r="A35" s="35"/>
      <c r="B35" s="35"/>
      <c r="C35" s="35"/>
      <c r="D35" s="35"/>
      <c r="E35" s="35"/>
      <c r="F35" s="35"/>
      <c r="G35" s="35"/>
      <c r="H35" s="35"/>
      <c r="I35" s="35"/>
    </row>
    <row r="73" spans="1:1" x14ac:dyDescent="0.25">
      <c r="A73" s="2" t="s">
        <v>6</v>
      </c>
    </row>
    <row r="74" spans="1:1" x14ac:dyDescent="0.25">
      <c r="A74" s="3" t="s">
        <v>12</v>
      </c>
    </row>
    <row r="75" spans="1:1" x14ac:dyDescent="0.25">
      <c r="A75" s="3" t="s">
        <v>16</v>
      </c>
    </row>
    <row r="76" spans="1:1" x14ac:dyDescent="0.25">
      <c r="A76" s="3" t="s">
        <v>26</v>
      </c>
    </row>
  </sheetData>
  <mergeCells count="10">
    <mergeCell ref="A33:I35"/>
    <mergeCell ref="A1:R1"/>
    <mergeCell ref="A32:I32"/>
    <mergeCell ref="A7:F8"/>
    <mergeCell ref="I10:O11"/>
    <mergeCell ref="A30:I31"/>
    <mergeCell ref="B2:G2"/>
    <mergeCell ref="A9:F9"/>
    <mergeCell ref="A10:F13"/>
    <mergeCell ref="I12:O13"/>
  </mergeCells>
  <dataValidations count="1">
    <dataValidation type="list" showInputMessage="1" showErrorMessage="1" error="Unvalid group named entered" promptTitle="Group" sqref="A15:A27" xr:uid="{43E9C21B-D0C4-49CA-9791-CFC43B46C0C4}">
      <formula1>$A$74:$A$76</formula1>
    </dataValidation>
  </dataValidations>
  <pageMargins left="0.7" right="0.7" top="0.75" bottom="0.75" header="0.3" footer="0.3"/>
  <ignoredErrors>
    <ignoredError sqref="A15:A26" listDataValidatio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8EA0-73BC-458A-8AA2-445913846743}">
  <sheetPr>
    <tabColor theme="5" tint="0.59999389629810485"/>
  </sheetPr>
  <dimension ref="A1:W30"/>
  <sheetViews>
    <sheetView workbookViewId="0">
      <selection activeCell="B5" sqref="B5"/>
    </sheetView>
  </sheetViews>
  <sheetFormatPr defaultColWidth="11.42578125" defaultRowHeight="15" x14ac:dyDescent="0.25"/>
  <cols>
    <col min="1" max="1" width="14.140625" customWidth="1"/>
    <col min="2" max="2" width="13.7109375" customWidth="1"/>
    <col min="3" max="3" width="27.140625" customWidth="1"/>
    <col min="4" max="4" width="19.5703125" customWidth="1"/>
    <col min="5" max="5" width="13.42578125" customWidth="1"/>
    <col min="6" max="6" width="15.140625" customWidth="1"/>
    <col min="7" max="7" width="11.140625" customWidth="1"/>
    <col min="10" max="10" width="16.28515625" customWidth="1"/>
    <col min="11" max="11" width="17.5703125" customWidth="1"/>
    <col min="12" max="12" width="13.140625" customWidth="1"/>
  </cols>
  <sheetData>
    <row r="1" spans="1:23" s="33" customFormat="1" ht="26.25" customHeight="1" x14ac:dyDescent="0.3">
      <c r="A1" s="36" t="s">
        <v>55</v>
      </c>
      <c r="B1" s="36"/>
      <c r="C1" s="36"/>
      <c r="D1" s="36"/>
      <c r="E1" s="36"/>
      <c r="F1" s="36"/>
      <c r="G1" s="36"/>
      <c r="H1" s="36"/>
      <c r="I1" s="36"/>
      <c r="J1" s="36"/>
      <c r="K1" s="36"/>
      <c r="L1" s="36"/>
      <c r="M1" s="36"/>
      <c r="N1" s="36"/>
      <c r="O1" s="36"/>
      <c r="P1" s="36"/>
      <c r="Q1" s="36"/>
      <c r="R1" s="36"/>
      <c r="S1" s="36"/>
      <c r="T1" s="36"/>
      <c r="U1" s="32"/>
      <c r="V1" s="32"/>
      <c r="W1" s="32"/>
    </row>
    <row r="2" spans="1:23" ht="22.5" customHeight="1" x14ac:dyDescent="0.25">
      <c r="B2" s="39" t="s">
        <v>56</v>
      </c>
      <c r="C2" s="39"/>
      <c r="D2" s="39"/>
      <c r="E2" s="39"/>
      <c r="F2" s="39"/>
      <c r="G2" s="39"/>
    </row>
    <row r="4" spans="1:23" x14ac:dyDescent="0.25">
      <c r="A4" s="4"/>
      <c r="B4" s="4" t="s">
        <v>1</v>
      </c>
      <c r="C4" s="4" t="s">
        <v>2</v>
      </c>
    </row>
    <row r="5" spans="1:23" x14ac:dyDescent="0.25">
      <c r="A5" s="4" t="s">
        <v>0</v>
      </c>
      <c r="B5" s="34" t="s">
        <v>4</v>
      </c>
      <c r="C5" s="34" t="s">
        <v>72</v>
      </c>
      <c r="D5" s="3" t="str">
        <f>_xlfn.CONCAT(A5," ",B5," - ",C5)</f>
        <v>Team: [Type team #] - [Type team members names]</v>
      </c>
    </row>
    <row r="7" spans="1:23" ht="15" customHeight="1" x14ac:dyDescent="0.25">
      <c r="A7" s="38" t="s">
        <v>52</v>
      </c>
      <c r="B7" s="38"/>
      <c r="C7" s="38"/>
      <c r="D7" s="38"/>
      <c r="E7" s="38"/>
      <c r="F7" s="38"/>
      <c r="G7" s="38"/>
      <c r="H7" s="38"/>
      <c r="I7" s="13"/>
      <c r="J7" s="38" t="s">
        <v>65</v>
      </c>
      <c r="K7" s="38"/>
      <c r="L7" s="38"/>
      <c r="M7" s="21"/>
      <c r="N7" s="21"/>
      <c r="O7" s="21"/>
    </row>
    <row r="8" spans="1:23" ht="15" customHeight="1" x14ac:dyDescent="0.25">
      <c r="A8" s="38"/>
      <c r="B8" s="38"/>
      <c r="C8" s="38"/>
      <c r="D8" s="38"/>
      <c r="E8" s="38"/>
      <c r="F8" s="38"/>
      <c r="G8" s="38"/>
      <c r="H8" s="38"/>
      <c r="I8" s="13"/>
      <c r="J8" s="38"/>
      <c r="K8" s="38"/>
      <c r="L8" s="38"/>
      <c r="M8" s="21"/>
      <c r="N8" s="21"/>
      <c r="O8" s="21"/>
    </row>
    <row r="9" spans="1:23" x14ac:dyDescent="0.25">
      <c r="A9" s="37" t="s">
        <v>5</v>
      </c>
      <c r="B9" s="37"/>
      <c r="C9" s="37"/>
      <c r="D9" s="37"/>
      <c r="E9" s="37"/>
      <c r="F9" s="37"/>
      <c r="G9" s="37"/>
      <c r="H9" s="37"/>
      <c r="I9" s="29"/>
      <c r="J9" s="37" t="s">
        <v>64</v>
      </c>
      <c r="K9" s="37"/>
      <c r="L9" s="20"/>
      <c r="M9" s="20"/>
      <c r="N9" s="20"/>
      <c r="O9" s="20"/>
      <c r="P9" s="20"/>
      <c r="Q9" s="20"/>
    </row>
    <row r="10" spans="1:23" ht="15" customHeight="1" x14ac:dyDescent="0.25">
      <c r="A10" s="35" t="s">
        <v>61</v>
      </c>
      <c r="B10" s="35"/>
      <c r="C10" s="35"/>
      <c r="D10" s="35"/>
      <c r="E10" s="35"/>
      <c r="F10" s="35"/>
      <c r="G10" s="35"/>
      <c r="H10" s="35"/>
      <c r="I10" s="14"/>
      <c r="J10" s="35" t="s">
        <v>66</v>
      </c>
      <c r="K10" s="35"/>
      <c r="L10" s="19"/>
    </row>
    <row r="11" spans="1:23" x14ac:dyDescent="0.25">
      <c r="A11" s="35"/>
      <c r="B11" s="35"/>
      <c r="C11" s="35"/>
      <c r="D11" s="35"/>
      <c r="E11" s="35"/>
      <c r="F11" s="35"/>
      <c r="G11" s="35"/>
      <c r="H11" s="35"/>
      <c r="I11" s="14"/>
      <c r="J11" s="35"/>
      <c r="K11" s="35"/>
      <c r="L11" s="19"/>
    </row>
    <row r="12" spans="1:23" x14ac:dyDescent="0.25">
      <c r="A12" s="35"/>
      <c r="B12" s="35"/>
      <c r="C12" s="35"/>
      <c r="D12" s="35"/>
      <c r="E12" s="35"/>
      <c r="F12" s="35"/>
      <c r="G12" s="35"/>
      <c r="H12" s="35"/>
      <c r="I12" s="14"/>
      <c r="J12" s="35"/>
      <c r="K12" s="35"/>
      <c r="L12" s="19"/>
    </row>
    <row r="13" spans="1:23" x14ac:dyDescent="0.25">
      <c r="A13" s="40"/>
      <c r="B13" s="40"/>
      <c r="C13" s="40"/>
      <c r="D13" s="40"/>
      <c r="E13" s="40"/>
      <c r="F13" s="40"/>
      <c r="G13" s="40"/>
      <c r="H13" s="40"/>
      <c r="I13" s="14"/>
      <c r="J13" s="42"/>
      <c r="K13" s="42"/>
      <c r="L13" s="19"/>
    </row>
    <row r="14" spans="1:23" x14ac:dyDescent="0.25">
      <c r="A14" s="18" t="s">
        <v>6</v>
      </c>
      <c r="B14" s="16" t="s">
        <v>7</v>
      </c>
      <c r="C14" s="16" t="s">
        <v>8</v>
      </c>
      <c r="D14" s="16" t="s">
        <v>9</v>
      </c>
      <c r="E14" s="16" t="s">
        <v>57</v>
      </c>
      <c r="F14" s="16" t="s">
        <v>58</v>
      </c>
      <c r="G14" s="16" t="s">
        <v>59</v>
      </c>
      <c r="H14" s="30" t="s">
        <v>60</v>
      </c>
      <c r="I14" s="20"/>
      <c r="J14" s="22" t="s">
        <v>62</v>
      </c>
      <c r="K14" s="23" t="s">
        <v>63</v>
      </c>
    </row>
    <row r="15" spans="1:23" x14ac:dyDescent="0.25">
      <c r="B15" t="s">
        <v>13</v>
      </c>
      <c r="C15" s="5" t="s">
        <v>14</v>
      </c>
      <c r="G15">
        <v>25</v>
      </c>
      <c r="H15" s="25">
        <f>(E15*F15*PI())/2</f>
        <v>0</v>
      </c>
      <c r="J15" s="24">
        <f>LOG10(G15)</f>
        <v>1.3979400086720377</v>
      </c>
      <c r="K15" s="25"/>
    </row>
    <row r="16" spans="1:23" x14ac:dyDescent="0.25">
      <c r="B16" t="s">
        <v>15</v>
      </c>
      <c r="C16" s="5" t="s">
        <v>14</v>
      </c>
      <c r="G16">
        <v>50</v>
      </c>
      <c r="H16" s="25">
        <f t="shared" ref="H16:H22" si="0">(E16*F16*PI())/2</f>
        <v>0</v>
      </c>
      <c r="J16" s="24"/>
      <c r="K16" s="25"/>
    </row>
    <row r="17" spans="1:17" x14ac:dyDescent="0.25">
      <c r="B17" t="s">
        <v>17</v>
      </c>
      <c r="C17" s="5" t="s">
        <v>18</v>
      </c>
      <c r="G17">
        <v>25</v>
      </c>
      <c r="H17" s="25">
        <f t="shared" si="0"/>
        <v>0</v>
      </c>
      <c r="J17" s="24"/>
      <c r="K17" s="25"/>
    </row>
    <row r="18" spans="1:17" x14ac:dyDescent="0.25">
      <c r="B18" t="s">
        <v>19</v>
      </c>
      <c r="C18" s="5" t="s">
        <v>20</v>
      </c>
      <c r="G18">
        <v>170</v>
      </c>
      <c r="H18" s="25">
        <f t="shared" si="0"/>
        <v>0</v>
      </c>
      <c r="J18" s="24"/>
      <c r="K18" s="25"/>
    </row>
    <row r="19" spans="1:17" x14ac:dyDescent="0.25">
      <c r="B19" t="s">
        <v>21</v>
      </c>
      <c r="C19" s="5" t="s">
        <v>22</v>
      </c>
      <c r="G19">
        <v>450</v>
      </c>
      <c r="H19" s="25">
        <f t="shared" si="0"/>
        <v>0</v>
      </c>
      <c r="J19" s="24"/>
      <c r="K19" s="25"/>
    </row>
    <row r="20" spans="1:17" x14ac:dyDescent="0.25">
      <c r="B20" t="s">
        <v>23</v>
      </c>
      <c r="C20" s="5" t="s">
        <v>24</v>
      </c>
      <c r="G20">
        <v>250</v>
      </c>
      <c r="H20" s="25">
        <f t="shared" si="0"/>
        <v>0</v>
      </c>
      <c r="J20" s="24"/>
      <c r="K20" s="25"/>
    </row>
    <row r="21" spans="1:17" x14ac:dyDescent="0.25">
      <c r="B21" t="s">
        <v>25</v>
      </c>
      <c r="C21" s="5" t="s">
        <v>24</v>
      </c>
      <c r="G21">
        <v>500</v>
      </c>
      <c r="H21" s="25">
        <f t="shared" si="0"/>
        <v>0</v>
      </c>
      <c r="J21" s="24"/>
      <c r="K21" s="25"/>
    </row>
    <row r="22" spans="1:17" x14ac:dyDescent="0.25">
      <c r="A22" s="15"/>
      <c r="B22" s="15" t="s">
        <v>27</v>
      </c>
      <c r="C22" s="17" t="s">
        <v>28</v>
      </c>
      <c r="D22" s="15"/>
      <c r="E22" s="15"/>
      <c r="F22" s="15"/>
      <c r="G22" s="15">
        <v>1000</v>
      </c>
      <c r="H22" s="31">
        <f t="shared" si="0"/>
        <v>0</v>
      </c>
      <c r="J22" s="26"/>
      <c r="K22" s="27"/>
    </row>
    <row r="25" spans="1:17" ht="17.25" x14ac:dyDescent="0.25">
      <c r="A25" s="38" t="s">
        <v>67</v>
      </c>
      <c r="B25" s="38"/>
      <c r="C25" s="38"/>
      <c r="D25" s="38"/>
      <c r="E25" s="38"/>
      <c r="F25" s="38"/>
      <c r="G25" s="38"/>
      <c r="H25" s="38"/>
      <c r="I25" s="13"/>
      <c r="J25" s="38" t="s">
        <v>69</v>
      </c>
      <c r="K25" s="38"/>
      <c r="L25" s="38"/>
      <c r="M25" s="38"/>
      <c r="N25" s="38"/>
      <c r="O25" s="38"/>
      <c r="P25" s="38"/>
      <c r="Q25" s="38"/>
    </row>
    <row r="26" spans="1:17" ht="17.25" x14ac:dyDescent="0.25">
      <c r="A26" s="38"/>
      <c r="B26" s="38"/>
      <c r="C26" s="38"/>
      <c r="D26" s="38"/>
      <c r="E26" s="38"/>
      <c r="F26" s="38"/>
      <c r="G26" s="38"/>
      <c r="H26" s="38"/>
      <c r="I26" s="13"/>
      <c r="J26" s="38"/>
      <c r="K26" s="38"/>
      <c r="L26" s="38"/>
      <c r="M26" s="38"/>
      <c r="N26" s="38"/>
      <c r="O26" s="38"/>
      <c r="P26" s="38"/>
      <c r="Q26" s="38"/>
    </row>
    <row r="27" spans="1:17" x14ac:dyDescent="0.25">
      <c r="A27" s="37" t="s">
        <v>48</v>
      </c>
      <c r="B27" s="37"/>
      <c r="C27" s="37"/>
      <c r="D27" s="37"/>
      <c r="E27" s="37"/>
      <c r="F27" s="37"/>
      <c r="G27" s="37"/>
      <c r="H27" s="37"/>
      <c r="I27" s="29"/>
      <c r="J27" s="37" t="s">
        <v>48</v>
      </c>
      <c r="K27" s="37"/>
      <c r="L27" s="37"/>
      <c r="M27" s="37"/>
      <c r="N27" s="37"/>
      <c r="O27" s="37"/>
      <c r="P27" s="37"/>
      <c r="Q27" s="37"/>
    </row>
    <row r="28" spans="1:17" ht="15" customHeight="1" x14ac:dyDescent="0.25">
      <c r="A28" s="43" t="s">
        <v>70</v>
      </c>
      <c r="B28" s="43"/>
      <c r="C28" s="43"/>
      <c r="D28" s="43"/>
      <c r="E28" s="43"/>
      <c r="F28" s="43"/>
      <c r="G28" s="43"/>
      <c r="H28" s="43"/>
      <c r="I28" s="28"/>
      <c r="J28" s="35" t="s">
        <v>71</v>
      </c>
      <c r="K28" s="35"/>
      <c r="L28" s="35"/>
      <c r="M28" s="35"/>
      <c r="N28" s="35"/>
      <c r="O28" s="35"/>
      <c r="P28" s="35"/>
      <c r="Q28" s="35"/>
    </row>
    <row r="29" spans="1:17" x14ac:dyDescent="0.25">
      <c r="A29" s="43"/>
      <c r="B29" s="43"/>
      <c r="C29" s="43"/>
      <c r="D29" s="43"/>
      <c r="E29" s="43"/>
      <c r="F29" s="43"/>
      <c r="G29" s="43"/>
      <c r="H29" s="43"/>
      <c r="I29" s="28"/>
      <c r="J29" s="35"/>
      <c r="K29" s="35"/>
      <c r="L29" s="35"/>
      <c r="M29" s="35"/>
      <c r="N29" s="35"/>
      <c r="O29" s="35"/>
      <c r="P29" s="35"/>
      <c r="Q29" s="35"/>
    </row>
    <row r="30" spans="1:17" x14ac:dyDescent="0.25">
      <c r="J30" s="35"/>
      <c r="K30" s="35"/>
      <c r="L30" s="35"/>
      <c r="M30" s="35"/>
      <c r="N30" s="35"/>
      <c r="O30" s="35"/>
      <c r="P30" s="35"/>
      <c r="Q30" s="35"/>
    </row>
  </sheetData>
  <mergeCells count="14">
    <mergeCell ref="A1:T1"/>
    <mergeCell ref="J10:K13"/>
    <mergeCell ref="J28:Q30"/>
    <mergeCell ref="A10:H13"/>
    <mergeCell ref="J9:K9"/>
    <mergeCell ref="B2:G2"/>
    <mergeCell ref="A9:H9"/>
    <mergeCell ref="A7:H8"/>
    <mergeCell ref="J7:L8"/>
    <mergeCell ref="A25:H26"/>
    <mergeCell ref="A27:H27"/>
    <mergeCell ref="A28:H29"/>
    <mergeCell ref="J27:Q27"/>
    <mergeCell ref="J25:Q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1</vt:lpstr>
      <vt:lpstr>Task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Gillet</dc:creator>
  <cp:lastModifiedBy>Amandine Gillet</cp:lastModifiedBy>
  <dcterms:created xsi:type="dcterms:W3CDTF">2023-11-28T13:44:10Z</dcterms:created>
  <dcterms:modified xsi:type="dcterms:W3CDTF">2023-11-29T12:11:55Z</dcterms:modified>
</cp:coreProperties>
</file>